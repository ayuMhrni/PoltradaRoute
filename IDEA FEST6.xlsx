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8" activeTab="8" autoFilterDateGrouping="1"/>
  </bookViews>
  <sheets>
    <sheet name="DATA AWAL" sheetId="1" state="visible" r:id="rId1"/>
    <sheet name="OD MATRIX" sheetId="2" state="visible" r:id="rId2"/>
    <sheet name="INVENT" sheetId="3" state="visible" r:id="rId3"/>
    <sheet name="MUATAN JARAK" sheetId="4" state="visible" r:id="rId4"/>
    <sheet name="MUATAN WAKTU" sheetId="5" state="visible" r:id="rId5"/>
    <sheet name="SOLVER RUTE JARAK" sheetId="6" state="visible" r:id="rId6"/>
    <sheet name="URUTAN RUTE JARAK" sheetId="7" state="visible" r:id="rId7"/>
    <sheet name="SOLVER RUTE WAKTU" sheetId="8" state="visible" r:id="rId8"/>
    <sheet name="URUTAN RUTE WAKTU" sheetId="9" state="visible" r:id="rId9"/>
    <sheet name="REKAP HASIL" sheetId="10" state="visible" r:id="rId10"/>
    <sheet name="BIAYA" sheetId="11" state="visible" r:id="rId11"/>
  </sheets>
  <definedNames>
    <definedName name="solver_adj" localSheetId="5" hidden="1">'SOLVER RUTE JARAK'!$K$9:$L$33</definedName>
    <definedName name="solver_cvg" localSheetId="5" hidden="1">0.0001</definedName>
    <definedName name="solver_drv" localSheetId="5" hidden="1">2</definedName>
    <definedName name="solver_eng" localSheetId="5" hidden="1">3</definedName>
    <definedName name="solver_est" localSheetId="5" hidden="1">1</definedName>
    <definedName name="solver_itr" localSheetId="5" hidden="1">2147483647</definedName>
    <definedName name="solver_lhs1" localSheetId="5" hidden="1">'SOLVER RUTE JARAK'!$K$9:$K$33</definedName>
    <definedName name="solver_lhs2" localSheetId="5" hidden="1">'SOLVER RUTE JARAK'!$L$9:$L$33</definedName>
    <definedName name="solver_lhs3" localSheetId="5" hidden="1">'SOLVER RUTE JARAK'!$L$9:$L$33</definedName>
    <definedName name="solver_lhs4" localSheetId="5" hidden="1">'SOLVER RUTE JARAK'!$L$9:$L$33</definedName>
    <definedName name="solver_lhs5" localSheetId="5" hidden="1">'SOLVER RUTE JARAK'!$V$9:$V$11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5</definedName>
    <definedName name="solver_nwt" localSheetId="5" hidden="1">1</definedName>
    <definedName name="solver_opt" localSheetId="5" hidden="1">'SOLVER RUTE JARAK'!$S$12</definedName>
    <definedName name="solver_pre" localSheetId="5" hidden="1">0.000001</definedName>
    <definedName name="solver_rbv" localSheetId="5" hidden="1">2</definedName>
    <definedName name="solver_rel1" localSheetId="5" hidden="1">6</definedName>
    <definedName name="solver_rel2" localSheetId="5" hidden="1">1</definedName>
    <definedName name="solver_rel3" localSheetId="5" hidden="1">4</definedName>
    <definedName name="solver_rel4" localSheetId="5" hidden="1">3</definedName>
    <definedName name="solver_rel5" localSheetId="5" hidden="1">1</definedName>
    <definedName name="solver_rhs1" localSheetId="5" hidden="1">"AllDifferent"</definedName>
    <definedName name="solver_rhs2" localSheetId="5" hidden="1">3</definedName>
    <definedName name="solver_rhs3" localSheetId="5" hidden="1">"integer"</definedName>
    <definedName name="solver_rhs4" localSheetId="5" hidden="1">1</definedName>
    <definedName name="solver_rhs5" localSheetId="5" hidden="1">5000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  <definedName name="solver_adj" localSheetId="6" hidden="1">'URUTAN RUTE JARAK'!#REF!</definedName>
    <definedName name="solver_cvg" localSheetId="6" hidden="1">0.0001</definedName>
    <definedName name="solver_drv" localSheetId="6" hidden="1">1</definedName>
    <definedName name="solver_eng" localSheetId="6" hidden="1">3</definedName>
    <definedName name="solver_est" localSheetId="6" hidden="1">1</definedName>
    <definedName name="solver_itr" localSheetId="6" hidden="1">2147483647</definedName>
    <definedName name="solver_lhs1" localSheetId="6" hidden="1">'URUTAN RUTE JARAK'!#REF!</definedName>
    <definedName name="solver_lhs2" localSheetId="6" hidden="1">'URUTAN RUTE JARAK'!#REF!</definedName>
    <definedName name="solver_lhs3" localSheetId="6" hidden="1">'URUTAN RUTE JARAK'!#REF!</definedName>
    <definedName name="solver_lhs4" localSheetId="6" hidden="1">'URUTAN RUTE JARAK'!#REF!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3</definedName>
    <definedName name="solver_nwt" localSheetId="6" hidden="1">1</definedName>
    <definedName name="solver_opt" localSheetId="6" hidden="1">'URUTAN RUTE JARAK'!#REF!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6</definedName>
    <definedName name="solver_rel3" localSheetId="6" hidden="1">4</definedName>
    <definedName name="solver_rel4" localSheetId="6" hidden="1">3</definedName>
    <definedName name="solver_rhs1" localSheetId="6" hidden="1">25</definedName>
    <definedName name="solver_rhs2" localSheetId="6" hidden="1">"AllDifferent"</definedName>
    <definedName name="solver_rhs3" localSheetId="6" hidden="1">"integer"</definedName>
    <definedName name="solver_rhs4" localSheetId="6" hidden="1">1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  <definedName name="solver_adj" localSheetId="7" hidden="1">'SOLVER RUTE WAKTU'!$K$9:$L$33</definedName>
    <definedName name="solver_cvg" localSheetId="7" hidden="1">0.0001</definedName>
    <definedName name="solver_drv" localSheetId="7" hidden="1">2</definedName>
    <definedName name="solver_eng" localSheetId="7" hidden="1">3</definedName>
    <definedName name="solver_est" localSheetId="7" hidden="1">1</definedName>
    <definedName name="solver_itr" localSheetId="7" hidden="1">2147483647</definedName>
    <definedName name="solver_lhs1" localSheetId="7" hidden="1">'SOLVER RUTE WAKTU'!$K$9:$K$33</definedName>
    <definedName name="solver_lhs2" localSheetId="7" hidden="1">'SOLVER RUTE WAKTU'!$L$9:$L$33</definedName>
    <definedName name="solver_lhs3" localSheetId="7" hidden="1">'SOLVER RUTE WAKTU'!$L$9:$L$33</definedName>
    <definedName name="solver_lhs4" localSheetId="7" hidden="1">'SOLVER RUTE WAKTU'!$L$9:$L$33</definedName>
    <definedName name="solver_lhs5" localSheetId="7" hidden="1">'SOLVER RUTE WAKTU'!$V$9:$V$11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5</definedName>
    <definedName name="solver_nwt" localSheetId="7" hidden="1">1</definedName>
    <definedName name="solver_opt" localSheetId="7" hidden="1">'SOLVER RUTE WAKTU'!$S$12</definedName>
    <definedName name="solver_pre" localSheetId="7" hidden="1">0.000001</definedName>
    <definedName name="solver_rbv" localSheetId="7" hidden="1">2</definedName>
    <definedName name="solver_rel1" localSheetId="7" hidden="1">6</definedName>
    <definedName name="solver_rel2" localSheetId="7" hidden="1">1</definedName>
    <definedName name="solver_rel3" localSheetId="7" hidden="1">4</definedName>
    <definedName name="solver_rel4" localSheetId="7" hidden="1">3</definedName>
    <definedName name="solver_rel5" localSheetId="7" hidden="1">1</definedName>
    <definedName name="solver_rhs1" localSheetId="7" hidden="1">"AllDifferent"</definedName>
    <definedName name="solver_rhs2" localSheetId="7" hidden="1">3</definedName>
    <definedName name="solver_rhs3" localSheetId="7" hidden="1">"integer"</definedName>
    <definedName name="solver_rhs4" localSheetId="7" hidden="1">1</definedName>
    <definedName name="solver_rhs5" localSheetId="7" hidden="1">5000</definedName>
    <definedName name="solver_rlx" localSheetId="7" hidden="1">2</definedName>
    <definedName name="solver_rsd" localSheetId="7" hidden="1">0</definedName>
    <definedName name="solver_scl" localSheetId="7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p&quot;* #,##0.00_-;\-&quot;Rp&quot;* #,##0.00_-;_-&quot;Rp&quot;* &quot;-&quot;??_-;_-@_-"/>
  </numFmts>
  <fonts count="27">
    <font>
      <name val="Calibri"/>
      <charset val="1"/>
      <family val="2"/>
      <color theme="1"/>
      <sz val="11"/>
      <scheme val="minor"/>
    </font>
    <font>
      <name val="Calibri"/>
      <charset val="1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theme="10"/>
      <sz val="11"/>
      <u val="single"/>
      <scheme val="minor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8"/>
    </font>
    <font>
      <name val="Calibri"/>
      <family val="2"/>
      <b val="1"/>
      <color theme="1"/>
      <sz val="36"/>
      <scheme val="minor"/>
    </font>
    <font>
      <name val="Calibri"/>
      <charset val="1"/>
      <family val="2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30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5"/>
      <scheme val="minor"/>
    </font>
    <font>
      <name val="Times New Roman"/>
      <family val="1"/>
      <b val="1"/>
      <color rgb="FF000000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color rgb="FF000000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000759A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  <border>
      <left style="medium">
        <color rgb="FFC9C9C9"/>
      </left>
      <right/>
      <top style="medium">
        <color rgb="FFC9C9C9"/>
      </top>
      <bottom style="medium">
        <color rgb="FFC9C9C9"/>
      </bottom>
      <diagonal/>
    </border>
    <border>
      <left/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/>
      <right/>
      <top style="medium">
        <color rgb="FFC9C9C9"/>
      </top>
      <bottom/>
      <diagonal/>
    </border>
    <border>
      <left/>
      <right style="medium">
        <color rgb="FFC9C9C9"/>
      </right>
      <top style="medium">
        <color rgb="FFC9C9C9"/>
      </top>
      <bottom/>
      <diagonal/>
    </border>
  </borders>
  <cellStyleXfs count="2">
    <xf numFmtId="0" fontId="0" fillId="0" borderId="0"/>
    <xf numFmtId="0" fontId="3" fillId="0" borderId="0"/>
  </cellStyleXfs>
  <cellXfs count="15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1"/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 wrapText="1"/>
    </xf>
    <xf numFmtId="16" fontId="0" fillId="0" borderId="0" pivotButton="0" quotePrefix="0" xfId="0"/>
    <xf numFmtId="0" fontId="3" fillId="0" borderId="1" applyAlignment="1" pivotButton="0" quotePrefix="0" xfId="1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" fontId="0" fillId="0" borderId="1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9" borderId="1" pivotButton="0" quotePrefix="0" xfId="0"/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/>
    </xf>
    <xf numFmtId="0" fontId="0" fillId="10" borderId="1" pivotButton="0" quotePrefix="0" xfId="0"/>
    <xf numFmtId="0" fontId="0" fillId="10" borderId="1" applyAlignment="1" pivotButton="0" quotePrefix="0" xfId="0">
      <alignment vertical="center" wrapText="1"/>
    </xf>
    <xf numFmtId="0" fontId="0" fillId="8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0" borderId="0" applyAlignment="1" pivotButton="0" quotePrefix="0" xfId="0">
      <alignment horizontal="right"/>
    </xf>
    <xf numFmtId="0" fontId="0" fillId="12" borderId="0" pivotButton="0" quotePrefix="0" xfId="0"/>
    <xf numFmtId="0" fontId="1" fillId="12" borderId="0" pivotButton="0" quotePrefix="0" xfId="0"/>
    <xf numFmtId="0" fontId="0" fillId="11" borderId="0" pivotButton="0" quotePrefix="0" xfId="0"/>
    <xf numFmtId="3" fontId="0" fillId="0" borderId="0" pivotButton="0" quotePrefix="0" xfId="0"/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1" fillId="0" borderId="0" applyAlignment="1" pivotButton="0" quotePrefix="0" xfId="0">
      <alignment vertical="center" wrapText="1"/>
    </xf>
    <xf numFmtId="0" fontId="0" fillId="13" borderId="0" pivotButton="0" quotePrefix="0" xfId="0"/>
    <xf numFmtId="0" fontId="11" fillId="13" borderId="0" applyAlignment="1" pivotButton="0" quotePrefix="0" xfId="0">
      <alignment vertical="center" wrapText="1"/>
    </xf>
    <xf numFmtId="0" fontId="2" fillId="0" borderId="1" pivotButton="0" quotePrefix="0" xfId="0"/>
    <xf numFmtId="0" fontId="15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justify" vertical="center" wrapText="1"/>
    </xf>
    <xf numFmtId="164" fontId="16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2" fillId="0" borderId="1" pivotButton="0" quotePrefix="0" xfId="0"/>
    <xf numFmtId="0" fontId="20" fillId="14" borderId="11" applyAlignment="1" pivotButton="0" quotePrefix="0" xfId="0">
      <alignment horizontal="center" vertical="center" wrapText="1"/>
    </xf>
    <xf numFmtId="0" fontId="20" fillId="15" borderId="12" applyAlignment="1" pivotButton="0" quotePrefix="0" xfId="0">
      <alignment horizontal="center" vertical="center" wrapText="1"/>
    </xf>
    <xf numFmtId="0" fontId="23" fillId="15" borderId="12" applyAlignment="1" pivotButton="0" quotePrefix="0" xfId="0">
      <alignment vertical="center" wrapText="1"/>
    </xf>
    <xf numFmtId="0" fontId="23" fillId="15" borderId="12" applyAlignment="1" pivotButton="0" quotePrefix="0" xfId="0">
      <alignment horizontal="center" vertical="center" wrapText="1"/>
    </xf>
    <xf numFmtId="0" fontId="23" fillId="15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1" fillId="0" borderId="12" applyAlignment="1" pivotButton="0" quotePrefix="0" xfId="0">
      <alignment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vertical="top" wrapText="1"/>
    </xf>
    <xf numFmtId="0" fontId="22" fillId="0" borderId="13" applyAlignment="1" pivotButton="0" quotePrefix="0" xfId="0">
      <alignment horizontal="center" vertical="center" wrapText="1"/>
    </xf>
    <xf numFmtId="0" fontId="20" fillId="15" borderId="12" applyAlignment="1" pivotButton="0" quotePrefix="0" xfId="0">
      <alignment vertical="center" wrapText="1"/>
    </xf>
    <xf numFmtId="0" fontId="22" fillId="0" borderId="12" applyAlignment="1" pivotButton="0" quotePrefix="0" xfId="0">
      <alignment vertical="center" wrapText="1"/>
    </xf>
    <xf numFmtId="0" fontId="22" fillId="0" borderId="13" applyAlignment="1" pivotButton="0" quotePrefix="0" xfId="0">
      <alignment vertical="center" wrapText="1"/>
    </xf>
    <xf numFmtId="0" fontId="2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/>
    </xf>
    <xf numFmtId="0" fontId="19" fillId="0" borderId="14" applyAlignment="1" pivotButton="0" quotePrefix="0" xfId="0">
      <alignment vertical="top" wrapText="1"/>
    </xf>
    <xf numFmtId="0" fontId="19" fillId="0" borderId="15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0" fillId="0" borderId="9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17" fillId="15" borderId="9" applyAlignment="1" pivotButton="0" quotePrefix="0" xfId="0">
      <alignment horizontal="center" vertical="center" wrapText="1"/>
    </xf>
    <xf numFmtId="0" fontId="17" fillId="15" borderId="8" applyAlignment="1" pivotButton="0" quotePrefix="0" xfId="0">
      <alignment horizontal="center" vertical="center" wrapText="1"/>
    </xf>
    <xf numFmtId="0" fontId="17" fillId="15" borderId="10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2" fillId="0" borderId="10" applyAlignment="1" pivotButton="0" quotePrefix="0" xfId="0">
      <alignment horizontal="center"/>
    </xf>
    <xf numFmtId="0" fontId="19" fillId="0" borderId="20" applyAlignment="1" pivotButton="0" quotePrefix="0" xfId="0">
      <alignment vertical="top" wrapText="1"/>
    </xf>
    <xf numFmtId="0" fontId="0" fillId="0" borderId="15" pivotButton="0" quotePrefix="0" xfId="0"/>
    <xf numFmtId="0" fontId="17" fillId="1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4" fontId="16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164" fontId="0" fillId="0" borderId="1" pivotButton="0" quotePrefix="0" xfId="0"/>
    <xf numFmtId="164" fontId="2" fillId="0" borderId="1" pivotButton="0" quotePrefix="0" xfId="0"/>
    <xf numFmtId="164" fontId="12" fillId="0" borderId="0" applyAlignment="1" pivotButton="0" quotePrefix="0" xfId="0">
      <alignment horizontal="center" vertical="center"/>
    </xf>
    <xf numFmtId="0" fontId="26" fillId="16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anV3zK58N5y8QEa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ps.app.goo.gl/anV3zK58N5y8QEa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app.goo.gl/anV3zK58N5y8QEa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7"/>
  <sheetViews>
    <sheetView topLeftCell="L13" zoomScale="40" zoomScaleNormal="40" workbookViewId="0">
      <selection activeCell="V22" sqref="V22"/>
    </sheetView>
  </sheetViews>
  <sheetFormatPr baseColWidth="8" defaultRowHeight="14.5"/>
  <cols>
    <col width="8.7265625" customWidth="1" style="1" min="1" max="1"/>
    <col width="23.54296875" customWidth="1" style="1" min="2" max="2"/>
    <col width="30.90625" customWidth="1" style="1" min="3" max="3"/>
    <col width="32.81640625" customWidth="1" style="1" min="4" max="4"/>
    <col width="22" customWidth="1" style="1" min="5" max="5"/>
    <col width="20.1796875" customWidth="1" style="1" min="6" max="6"/>
    <col width="19" customWidth="1" min="7" max="7"/>
    <col width="8.7265625" customWidth="1" min="20" max="20"/>
    <col width="21" customWidth="1" min="21" max="21"/>
    <col width="101.7265625" customWidth="1" min="22" max="22"/>
  </cols>
  <sheetData>
    <row r="2">
      <c r="A2" s="89" t="inlineStr">
        <is>
          <t>NO</t>
        </is>
      </c>
      <c r="B2" s="89" t="inlineStr">
        <is>
          <t>ASAL</t>
        </is>
      </c>
      <c r="C2" s="89" t="inlineStr">
        <is>
          <t>TUJUAN</t>
        </is>
      </c>
      <c r="D2" s="89" t="inlineStr">
        <is>
          <t>ALAMAT</t>
        </is>
      </c>
      <c r="E2" s="89" t="inlineStr">
        <is>
          <t>JARAK</t>
        </is>
      </c>
      <c r="F2" s="89" t="inlineStr">
        <is>
          <t>WAKTU</t>
        </is>
      </c>
      <c r="G2" s="4" t="inlineStr">
        <is>
          <t>Kode</t>
        </is>
      </c>
      <c r="T2" s="4" t="n"/>
      <c r="U2" s="4" t="inlineStr">
        <is>
          <t>Gudang</t>
        </is>
      </c>
      <c r="V2" s="9" t="inlineStr">
        <is>
          <t>https://maps.app.goo.gl/anV3zK58N5y8QEa77</t>
        </is>
      </c>
      <c r="W2" s="8" t="inlineStr">
        <is>
          <t>JARAK</t>
        </is>
      </c>
      <c r="X2" s="8" t="inlineStr">
        <is>
          <t>MENIT</t>
        </is>
      </c>
    </row>
    <row r="3" ht="43.5" customHeight="1">
      <c r="A3" s="89" t="n">
        <v>1</v>
      </c>
      <c r="B3" s="89" t="inlineStr">
        <is>
          <t>GUDANG</t>
        </is>
      </c>
      <c r="C3" s="86" t="inlineStr">
        <is>
          <t>Indomaret Mengwi</t>
        </is>
      </c>
      <c r="D3" s="86" t="inlineStr">
        <is>
          <t>Kapal, Mengwi</t>
        </is>
      </c>
      <c r="E3" s="86" t="inlineStr">
        <is>
          <t>2 km</t>
        </is>
      </c>
      <c r="F3" s="86" t="inlineStr">
        <is>
          <t>5 menit</t>
        </is>
      </c>
      <c r="G3" s="86" t="inlineStr">
        <is>
          <t>A</t>
        </is>
      </c>
      <c r="T3" s="5" t="inlineStr">
        <is>
          <t>A</t>
        </is>
      </c>
      <c r="U3" s="5" t="inlineStr">
        <is>
          <t>Mengwi</t>
        </is>
      </c>
      <c r="V3" s="8" t="inlineStr">
        <is>
          <t>Indomaret Mengwitani, Jalan Raya, Mengwitani, Mengwi, Badung Regency, Bali 80351</t>
        </is>
      </c>
      <c r="W3" s="8" t="n">
        <v>9.4</v>
      </c>
      <c r="X3" s="8" t="n">
        <v>14</v>
      </c>
    </row>
    <row r="4" ht="29" customHeight="1">
      <c r="A4" s="89" t="n">
        <v>2</v>
      </c>
      <c r="B4" s="134" t="n"/>
      <c r="C4" s="86" t="inlineStr">
        <is>
          <t>Indomaret Buduk</t>
        </is>
      </c>
      <c r="D4" s="86" t="inlineStr">
        <is>
          <t>Buduk</t>
        </is>
      </c>
      <c r="E4" s="86" t="inlineStr">
        <is>
          <t>5 km</t>
        </is>
      </c>
      <c r="F4" s="86" t="inlineStr">
        <is>
          <t>10 menit</t>
        </is>
      </c>
      <c r="G4" s="86" t="inlineStr">
        <is>
          <t>B</t>
        </is>
      </c>
      <c r="T4" s="5" t="inlineStr">
        <is>
          <t>B</t>
        </is>
      </c>
      <c r="U4" s="5" t="inlineStr">
        <is>
          <t>Buduk</t>
        </is>
      </c>
      <c r="V4" s="8" t="inlineStr">
        <is>
          <t>Indomaret Buduk, Jl. Raya Buduk No.28, Buduk, Kec. Mengwi, Kabupaten Badung, Bali 80351</t>
        </is>
      </c>
      <c r="W4" s="8" t="n">
        <v>15.3</v>
      </c>
      <c r="X4" s="8" t="n">
        <v>25</v>
      </c>
    </row>
    <row r="5" ht="43.5" customHeight="1">
      <c r="A5" s="89" t="n">
        <v>3</v>
      </c>
      <c r="B5" s="134" t="n"/>
      <c r="C5" s="86" t="inlineStr">
        <is>
          <t>Indomaret Sempidi</t>
        </is>
      </c>
      <c r="D5" s="86" t="inlineStr">
        <is>
          <t>Sempidi</t>
        </is>
      </c>
      <c r="E5" s="86" t="inlineStr">
        <is>
          <t>4 km</t>
        </is>
      </c>
      <c r="F5" s="86" t="inlineStr">
        <is>
          <t>10 menit</t>
        </is>
      </c>
      <c r="G5" s="86" t="inlineStr">
        <is>
          <t>C</t>
        </is>
      </c>
      <c r="T5" s="5" t="inlineStr">
        <is>
          <t>C</t>
        </is>
      </c>
      <c r="U5" s="5" t="inlineStr">
        <is>
          <t>Sempidi</t>
        </is>
      </c>
      <c r="V5" s="8" t="inlineStr">
        <is>
          <t>Indomaret Sempidi, Jl. Raya Sempidi No.25, Sempidi, Mengwi, Badung Regency, Bali 80351</t>
        </is>
      </c>
      <c r="W5" s="8" t="n">
        <v>14.1</v>
      </c>
      <c r="X5" s="8" t="n">
        <v>23</v>
      </c>
    </row>
    <row r="6" ht="43.5" customHeight="1">
      <c r="A6" s="89" t="n">
        <v>4</v>
      </c>
      <c r="B6" s="134" t="n"/>
      <c r="C6" s="86" t="inlineStr">
        <is>
          <t>Indomaret Dalung Permai</t>
        </is>
      </c>
      <c r="D6" s="86" t="inlineStr">
        <is>
          <t>Dalung</t>
        </is>
      </c>
      <c r="E6" s="86" t="inlineStr">
        <is>
          <t>6 km</t>
        </is>
      </c>
      <c r="F6" s="86" t="inlineStr">
        <is>
          <t>15 menit</t>
        </is>
      </c>
      <c r="G6" s="86" t="inlineStr">
        <is>
          <t>D</t>
        </is>
      </c>
      <c r="T6" s="5" t="inlineStr">
        <is>
          <t>D</t>
        </is>
      </c>
      <c r="U6" s="5" t="inlineStr">
        <is>
          <t>Dalung</t>
        </is>
      </c>
      <c r="V6" s="8" t="inlineStr">
        <is>
          <t>Indomaret DALUNG, Jl. Raya Dalung No.91, Dalung, Kec. Kuta Utara, Kabupaten Badung, Bali 80351</t>
        </is>
      </c>
      <c r="W6" s="8" t="n">
        <v>14.5</v>
      </c>
      <c r="X6" s="8" t="n">
        <v>24</v>
      </c>
    </row>
    <row r="7" ht="58" customHeight="1">
      <c r="A7" s="89" t="n">
        <v>5</v>
      </c>
      <c r="B7" s="134" t="n"/>
      <c r="C7" s="86" t="inlineStr">
        <is>
          <t>Indomaret Tibubeneng</t>
        </is>
      </c>
      <c r="D7" s="86" t="inlineStr">
        <is>
          <t>Canggu</t>
        </is>
      </c>
      <c r="E7" s="86" t="inlineStr">
        <is>
          <t>8 km</t>
        </is>
      </c>
      <c r="F7" s="86" t="inlineStr">
        <is>
          <t>20 menit</t>
        </is>
      </c>
      <c r="G7" s="86" t="inlineStr">
        <is>
          <t>E</t>
        </is>
      </c>
      <c r="T7" s="5" t="inlineStr">
        <is>
          <t>E</t>
        </is>
      </c>
      <c r="U7" s="5" t="inlineStr">
        <is>
          <t>Tibubeneng</t>
        </is>
      </c>
      <c r="V7" s="8" t="inlineStr">
        <is>
          <t>INDOMARET RAYA PADONAN 25, Jl. Raya Padonan No.25, Tibubeneng, Kec. Kuta Utara, Kabupaten Badung, Bali 80361</t>
        </is>
      </c>
      <c r="W7" s="8" t="n">
        <v>20</v>
      </c>
      <c r="X7" s="8" t="n">
        <v>34</v>
      </c>
    </row>
    <row r="8" ht="43.5" customHeight="1">
      <c r="A8" s="89" t="n">
        <v>6</v>
      </c>
      <c r="B8" s="134" t="n"/>
      <c r="C8" s="86" t="inlineStr">
        <is>
          <t>Indomaret Berawa</t>
        </is>
      </c>
      <c r="D8" s="86" t="inlineStr">
        <is>
          <t>Berawa</t>
        </is>
      </c>
      <c r="E8" s="86" t="inlineStr">
        <is>
          <t>9 km</t>
        </is>
      </c>
      <c r="F8" s="86" t="inlineStr">
        <is>
          <t>20 menit</t>
        </is>
      </c>
      <c r="G8" s="86" t="inlineStr">
        <is>
          <t>F</t>
        </is>
      </c>
      <c r="T8" s="5" t="inlineStr">
        <is>
          <t>F</t>
        </is>
      </c>
      <c r="U8" s="5" t="inlineStr">
        <is>
          <t>Berawa</t>
        </is>
      </c>
      <c r="V8" s="8" t="inlineStr">
        <is>
          <t>Indomaret, Jl. Pantai Berawa No.12, Tibubeneng, Kec. Kuta Utara, Kabupaten Badung, Bali 80361</t>
        </is>
      </c>
      <c r="W8" s="8" t="n">
        <v>25</v>
      </c>
      <c r="X8" s="8" t="n">
        <v>35</v>
      </c>
    </row>
    <row r="9" ht="43.5" customHeight="1">
      <c r="A9" s="89" t="n">
        <v>7</v>
      </c>
      <c r="B9" s="134" t="n"/>
      <c r="C9" s="86" t="inlineStr">
        <is>
          <t>Indomaret Batu Bolong</t>
        </is>
      </c>
      <c r="D9" s="86" t="inlineStr">
        <is>
          <t>Canggu</t>
        </is>
      </c>
      <c r="E9" s="86" t="inlineStr">
        <is>
          <t>10 km</t>
        </is>
      </c>
      <c r="F9" s="86" t="inlineStr">
        <is>
          <t>25 menit</t>
        </is>
      </c>
      <c r="G9" s="86" t="inlineStr">
        <is>
          <t>G</t>
        </is>
      </c>
      <c r="T9" s="5" t="inlineStr">
        <is>
          <t>G</t>
        </is>
      </c>
      <c r="U9" s="5" t="inlineStr">
        <is>
          <t>Batu Bolong</t>
        </is>
      </c>
      <c r="V9" s="8" t="inlineStr">
        <is>
          <t>INDOMARET BATU BOLONG 12, Jl. Pantai Batu Bolong No.12, Canggu, Kec. Kuta Utara, Kabupaten Badung, Bali 80361</t>
        </is>
      </c>
      <c r="W9" s="8" t="n">
        <v>23</v>
      </c>
      <c r="X9" s="8" t="n">
        <v>36</v>
      </c>
    </row>
    <row r="10" ht="58" customHeight="1">
      <c r="A10" s="89" t="n">
        <v>8</v>
      </c>
      <c r="B10" s="134" t="n"/>
      <c r="C10" s="86" t="inlineStr">
        <is>
          <t>Indomaret Pererenan</t>
        </is>
      </c>
      <c r="D10" s="86" t="inlineStr">
        <is>
          <t>Pererenan</t>
        </is>
      </c>
      <c r="E10" s="86" t="inlineStr">
        <is>
          <t>12 km</t>
        </is>
      </c>
      <c r="F10" s="86" t="inlineStr">
        <is>
          <t>30 menit</t>
        </is>
      </c>
      <c r="G10" s="86" t="inlineStr">
        <is>
          <t>H</t>
        </is>
      </c>
      <c r="T10" s="5" t="inlineStr">
        <is>
          <t>H</t>
        </is>
      </c>
      <c r="U10" s="5" t="inlineStr">
        <is>
          <t>Pererenan</t>
        </is>
      </c>
      <c r="V10" s="8" t="inlineStr">
        <is>
          <t>Pererenan Beach Indomaret, 948M+WJC, Jl. Pantai Pererenan, Pererenan, Mengwi, Badung Regency, Bali 80351</t>
        </is>
      </c>
      <c r="W10" s="8" t="n">
        <v>19.2</v>
      </c>
      <c r="X10" s="8" t="n">
        <v>31</v>
      </c>
    </row>
    <row r="11" ht="58" customHeight="1">
      <c r="A11" s="89" t="n">
        <v>9</v>
      </c>
      <c r="B11" s="134" t="n"/>
      <c r="C11" s="86" t="inlineStr">
        <is>
          <t>Indomaret Kerobokan</t>
        </is>
      </c>
      <c r="D11" s="86" t="inlineStr">
        <is>
          <t>Kerobokan</t>
        </is>
      </c>
      <c r="E11" s="86" t="inlineStr">
        <is>
          <t>8 km</t>
        </is>
      </c>
      <c r="F11" s="86" t="inlineStr">
        <is>
          <t>20 menit</t>
        </is>
      </c>
      <c r="G11" s="86" t="inlineStr">
        <is>
          <t>I</t>
        </is>
      </c>
      <c r="T11" s="5" t="inlineStr">
        <is>
          <t>I</t>
        </is>
      </c>
      <c r="U11" s="5" t="inlineStr">
        <is>
          <t>Kerobokan</t>
        </is>
      </c>
      <c r="V11" s="8" t="inlineStr">
        <is>
          <t>Indomaret Raya Kerobokan, 956F+MM7, Kerobokan Kaja, Kec. Kuta Utara, Kabupaten Badung, Bali 80361</t>
        </is>
      </c>
      <c r="W11" s="8" t="n">
        <v>18.8</v>
      </c>
      <c r="X11" s="8" t="n">
        <v>36</v>
      </c>
    </row>
    <row r="12" ht="43.5" customHeight="1">
      <c r="A12" s="89" t="n">
        <v>10</v>
      </c>
      <c r="B12" s="134" t="n"/>
      <c r="C12" s="86" t="inlineStr">
        <is>
          <t>Indomaret Umalas</t>
        </is>
      </c>
      <c r="D12" s="86" t="inlineStr">
        <is>
          <t>Umalas</t>
        </is>
      </c>
      <c r="E12" s="86" t="inlineStr">
        <is>
          <t>9 km</t>
        </is>
      </c>
      <c r="F12" s="86" t="inlineStr">
        <is>
          <t>25 menit</t>
        </is>
      </c>
      <c r="G12" s="86" t="inlineStr">
        <is>
          <t>J</t>
        </is>
      </c>
      <c r="T12" s="5" t="inlineStr">
        <is>
          <t>J</t>
        </is>
      </c>
      <c r="U12" s="5" t="inlineStr">
        <is>
          <t>Umalas</t>
        </is>
      </c>
      <c r="V12" s="8" t="inlineStr">
        <is>
          <t>Indomaret - Umalas, Jl. Umalas II No.35, Kerobokan Kelod, Kuta Utara, Badung Regency, Bali 80361</t>
        </is>
      </c>
      <c r="W12" s="8" t="n">
        <v>24.9</v>
      </c>
      <c r="X12" s="8" t="n">
        <v>42</v>
      </c>
    </row>
    <row r="13" ht="29" customHeight="1">
      <c r="A13" s="89" t="n">
        <v>11</v>
      </c>
      <c r="B13" s="134" t="n"/>
      <c r="C13" s="86" t="inlineStr">
        <is>
          <t>Indomaret Nakula</t>
        </is>
      </c>
      <c r="D13" s="86" t="inlineStr">
        <is>
          <t>Legian</t>
        </is>
      </c>
      <c r="E13" s="86" t="inlineStr">
        <is>
          <t>12 km</t>
        </is>
      </c>
      <c r="F13" s="86" t="inlineStr">
        <is>
          <t>30 menit</t>
        </is>
      </c>
      <c r="G13" s="86" t="inlineStr">
        <is>
          <t>K</t>
        </is>
      </c>
      <c r="T13" s="5" t="inlineStr">
        <is>
          <t>K</t>
        </is>
      </c>
      <c r="U13" s="5" t="inlineStr">
        <is>
          <t>Nakula</t>
        </is>
      </c>
      <c r="V13" s="8" t="inlineStr">
        <is>
          <t>INDOMARET NAKULA 73, Jl. Nakula No.73, Legian, Kec. Kuta, Kabupaten Badung, Bali 80361</t>
        </is>
      </c>
      <c r="W13" s="8" t="n">
        <v>27.1</v>
      </c>
      <c r="X13" s="8" t="n">
        <v>51</v>
      </c>
    </row>
    <row r="14" ht="43.5" customHeight="1">
      <c r="A14" s="89" t="n">
        <v>12</v>
      </c>
      <c r="B14" s="134" t="n"/>
      <c r="C14" s="86" t="inlineStr">
        <is>
          <t>Indomaret Dewi Sri</t>
        </is>
      </c>
      <c r="D14" s="86" t="inlineStr">
        <is>
          <t>Kuta</t>
        </is>
      </c>
      <c r="E14" s="86" t="inlineStr">
        <is>
          <t>13 km</t>
        </is>
      </c>
      <c r="F14" s="86" t="inlineStr">
        <is>
          <t>30 menit</t>
        </is>
      </c>
      <c r="G14" s="86" t="inlineStr">
        <is>
          <t>L</t>
        </is>
      </c>
      <c r="T14" s="5" t="inlineStr">
        <is>
          <t>L</t>
        </is>
      </c>
      <c r="U14" s="5" t="inlineStr">
        <is>
          <t>Dewi Sri</t>
        </is>
      </c>
      <c r="V14" s="8" t="inlineStr">
        <is>
          <t>Indomaret Dewi Sri 18 V, Jalan Dewi Sri, Legian, Badung Regency, Bali</t>
        </is>
      </c>
      <c r="W14" s="8" t="n">
        <v>27.6</v>
      </c>
      <c r="X14" s="8" t="n">
        <v>53</v>
      </c>
    </row>
    <row r="15" ht="43.5" customHeight="1">
      <c r="A15" s="89" t="n">
        <v>13</v>
      </c>
      <c r="B15" s="134" t="n"/>
      <c r="C15" s="86" t="inlineStr">
        <is>
          <t>Indomaret Raya Kuta 3</t>
        </is>
      </c>
      <c r="D15" s="86" t="inlineStr">
        <is>
          <t>Kuta</t>
        </is>
      </c>
      <c r="E15" s="86" t="inlineStr">
        <is>
          <t>14 km</t>
        </is>
      </c>
      <c r="F15" s="86" t="inlineStr">
        <is>
          <t>35 menit</t>
        </is>
      </c>
      <c r="G15" s="86" t="inlineStr">
        <is>
          <t>M</t>
        </is>
      </c>
      <c r="T15" s="5" t="inlineStr">
        <is>
          <t>M</t>
        </is>
      </c>
      <c r="U15" s="5" t="inlineStr">
        <is>
          <t>Kuta</t>
        </is>
      </c>
      <c r="V15" s="8" t="inlineStr">
        <is>
          <t>Indomaret Kuta, Jl. Raya Kuta No.83E, Kuta, Kec. Kuta, Kabupaten Badung, Bali 80361</t>
        </is>
      </c>
      <c r="W15" s="8" t="n">
        <v>30.9</v>
      </c>
      <c r="X15" s="8" t="n">
        <v>58</v>
      </c>
    </row>
    <row r="16" ht="43.5" customHeight="1">
      <c r="A16" s="89" t="n">
        <v>14</v>
      </c>
      <c r="B16" s="134" t="n"/>
      <c r="C16" s="86" t="inlineStr">
        <is>
          <t>Indomaret Sunset Road</t>
        </is>
      </c>
      <c r="D16" s="86" t="inlineStr">
        <is>
          <t>Kuta</t>
        </is>
      </c>
      <c r="E16" s="86" t="inlineStr">
        <is>
          <t>13 km</t>
        </is>
      </c>
      <c r="F16" s="86" t="inlineStr">
        <is>
          <t>30 menit</t>
        </is>
      </c>
      <c r="G16" s="86" t="inlineStr">
        <is>
          <t>N</t>
        </is>
      </c>
      <c r="T16" s="5" t="inlineStr">
        <is>
          <t>N</t>
        </is>
      </c>
      <c r="U16" s="5" t="inlineStr">
        <is>
          <t>Sunset Road</t>
        </is>
      </c>
      <c r="V16" s="8" t="inlineStr">
        <is>
          <t>Indomaret Sunset Road 37, Jl. Sunset Road No.139, Kuta, Badung Regency, Bali 80361</t>
        </is>
      </c>
      <c r="W16" s="8" t="n">
        <v>28.3</v>
      </c>
      <c r="X16" s="8" t="n">
        <v>50</v>
      </c>
    </row>
    <row r="17" ht="43.5" customHeight="1">
      <c r="A17" s="89" t="n">
        <v>15</v>
      </c>
      <c r="B17" s="134" t="n"/>
      <c r="C17" s="86" t="inlineStr">
        <is>
          <t>Indomaret Seminyak</t>
        </is>
      </c>
      <c r="D17" s="86" t="inlineStr">
        <is>
          <t>Seminyak</t>
        </is>
      </c>
      <c r="E17" s="86" t="inlineStr">
        <is>
          <t>12 km</t>
        </is>
      </c>
      <c r="F17" s="86" t="inlineStr">
        <is>
          <t>30 menit</t>
        </is>
      </c>
      <c r="G17" s="86" t="inlineStr">
        <is>
          <t>O</t>
        </is>
      </c>
      <c r="T17" s="5" t="inlineStr">
        <is>
          <t>O</t>
        </is>
      </c>
      <c r="U17" s="5" t="inlineStr">
        <is>
          <t>Seminyak</t>
        </is>
      </c>
      <c r="V17" s="8" t="inlineStr">
        <is>
          <t>indomaret, Jl. Dewi Saraswati II No.101, Seminyak, Kec. Kuta, Kabupaten Badung, Bali 80361</t>
        </is>
      </c>
      <c r="W17" s="8" t="n">
        <v>25.5</v>
      </c>
      <c r="X17" s="8" t="n">
        <v>47</v>
      </c>
    </row>
    <row r="18" ht="58" customHeight="1">
      <c r="A18" s="89" t="n">
        <v>16</v>
      </c>
      <c r="B18" s="134" t="n"/>
      <c r="C18" s="86" t="inlineStr">
        <is>
          <t>Indomaret Jimbaran Uluwatu</t>
        </is>
      </c>
      <c r="D18" s="86" t="inlineStr">
        <is>
          <t>Jimbaran</t>
        </is>
      </c>
      <c r="E18" s="86" t="inlineStr">
        <is>
          <t>18 km</t>
        </is>
      </c>
      <c r="F18" s="86" t="inlineStr">
        <is>
          <t>40 menit</t>
        </is>
      </c>
      <c r="G18" s="86" t="inlineStr">
        <is>
          <t>P</t>
        </is>
      </c>
      <c r="T18" s="5" t="inlineStr">
        <is>
          <t>P</t>
        </is>
      </c>
      <c r="U18" s="5" t="inlineStr">
        <is>
          <t>Jimbaran</t>
        </is>
      </c>
      <c r="V18" s="8" t="inlineStr">
        <is>
          <t>Indomaret, Uluwatu St No.12, Jimbaran, South Kuta, Badung Regency, Bali 80361</t>
        </is>
      </c>
      <c r="W18" s="8" t="n">
        <v>38</v>
      </c>
      <c r="X18" s="8" t="n">
        <v>65</v>
      </c>
    </row>
    <row r="19" ht="72.5" customHeight="1">
      <c r="A19" s="89" t="n">
        <v>17</v>
      </c>
      <c r="B19" s="134" t="n"/>
      <c r="C19" s="86" t="inlineStr">
        <is>
          <t>Indomaret By Pass Nusa Dua</t>
        </is>
      </c>
      <c r="D19" s="86" t="inlineStr">
        <is>
          <t>Nusa Dua</t>
        </is>
      </c>
      <c r="E19" s="86" t="inlineStr">
        <is>
          <t>20 km</t>
        </is>
      </c>
      <c r="F19" s="86" t="inlineStr">
        <is>
          <t>45 menit</t>
        </is>
      </c>
      <c r="G19" s="86" t="inlineStr">
        <is>
          <t>Q</t>
        </is>
      </c>
      <c r="T19" s="5" t="inlineStr">
        <is>
          <t>Q</t>
        </is>
      </c>
      <c r="U19" s="5" t="inlineStr">
        <is>
          <t>Nusa Dua</t>
        </is>
      </c>
      <c r="V19" s="8" t="inlineStr">
        <is>
          <t>Indomaret Bypass Nusa Dua 4, Jl. Bypass Ngurah Rai No.184, Benoa, South Kuta, Badung Regency, Bali 80361</t>
        </is>
      </c>
      <c r="W19" s="8" t="n">
        <v>40.4</v>
      </c>
      <c r="X19" s="8" t="n">
        <v>65</v>
      </c>
    </row>
    <row r="20" ht="58" customHeight="1">
      <c r="A20" s="89" t="n">
        <v>18</v>
      </c>
      <c r="B20" s="134" t="n"/>
      <c r="C20" s="86" t="inlineStr">
        <is>
          <t>Indomaret Tanjung Benoa</t>
        </is>
      </c>
      <c r="D20" s="86" t="inlineStr">
        <is>
          <t>Benoa</t>
        </is>
      </c>
      <c r="E20" s="86" t="inlineStr">
        <is>
          <t>22 km</t>
        </is>
      </c>
      <c r="F20" s="86" t="inlineStr">
        <is>
          <t>50 menit</t>
        </is>
      </c>
      <c r="G20" s="86" t="inlineStr">
        <is>
          <t>R</t>
        </is>
      </c>
      <c r="T20" s="5" t="inlineStr">
        <is>
          <t>R</t>
        </is>
      </c>
      <c r="U20" s="5" t="inlineStr">
        <is>
          <t>Benoa</t>
        </is>
      </c>
      <c r="V20" s="8" t="inlineStr">
        <is>
          <t>Indomaret Tanjung Benoa, Jl. Pratama No.99, Benoa, Kec. Kuta Sel., Kabupaten Badung, Bali 80361</t>
        </is>
      </c>
      <c r="W20" s="8" t="n">
        <v>46.3</v>
      </c>
      <c r="X20" s="8" t="n">
        <v>75</v>
      </c>
    </row>
    <row r="21" ht="43.5" customHeight="1">
      <c r="A21" s="89" t="n">
        <v>19</v>
      </c>
      <c r="B21" s="134" t="n"/>
      <c r="C21" s="86" t="inlineStr">
        <is>
          <t>Indomaret Ungasan</t>
        </is>
      </c>
      <c r="D21" s="86" t="inlineStr">
        <is>
          <t>Ungasan</t>
        </is>
      </c>
      <c r="E21" s="86" t="inlineStr">
        <is>
          <t>19 km</t>
        </is>
      </c>
      <c r="F21" s="86" t="inlineStr">
        <is>
          <t>45 menit</t>
        </is>
      </c>
      <c r="G21" s="86" t="inlineStr">
        <is>
          <t>S</t>
        </is>
      </c>
      <c r="T21" s="5" t="inlineStr">
        <is>
          <t>S</t>
        </is>
      </c>
      <c r="U21" s="5" t="inlineStr">
        <is>
          <t>Ungasan</t>
        </is>
      </c>
      <c r="V21" s="8" t="inlineStr">
        <is>
          <t>Indomaret Uluwatu Ungasan, 6526+362, Jl. Raya Uluwatu, Jimbaran, Kec. Kuta Sel., Kabupaten Badung, Bali 80361</t>
        </is>
      </c>
      <c r="W21" s="8" t="n">
        <v>40.4</v>
      </c>
      <c r="X21" s="8" t="n">
        <v>68</v>
      </c>
    </row>
    <row r="22" ht="29" customHeight="1">
      <c r="A22" s="89" t="n">
        <v>20</v>
      </c>
      <c r="B22" s="134" t="n"/>
      <c r="C22" s="86" t="inlineStr">
        <is>
          <t>Indomaret Pecatu</t>
        </is>
      </c>
      <c r="D22" s="86" t="inlineStr">
        <is>
          <t>Pecatu</t>
        </is>
      </c>
      <c r="E22" s="86" t="inlineStr">
        <is>
          <t>23 km</t>
        </is>
      </c>
      <c r="F22" s="86" t="inlineStr">
        <is>
          <t>55 menit</t>
        </is>
      </c>
      <c r="G22" s="86" t="inlineStr">
        <is>
          <t>T</t>
        </is>
      </c>
      <c r="T22" s="5" t="inlineStr">
        <is>
          <t>T</t>
        </is>
      </c>
      <c r="U22" s="5" t="inlineStr">
        <is>
          <t>Pecatu</t>
        </is>
      </c>
      <c r="V22" s="8" t="inlineStr">
        <is>
          <t>Indomaret Pecatu, Jl. Raya Uluwatu Pecatu No.98, Pecatu, South Kuta, Badung Regency, Bali 80361</t>
        </is>
      </c>
      <c r="W22" s="8" t="n">
        <v>45.1</v>
      </c>
      <c r="X22" s="8" t="n">
        <v>79</v>
      </c>
    </row>
    <row r="23" ht="43.5" customHeight="1">
      <c r="A23" s="89" t="n">
        <v>21</v>
      </c>
      <c r="B23" s="134" t="n"/>
      <c r="C23" s="86" t="inlineStr">
        <is>
          <t>Indomaret Teuku Umar</t>
        </is>
      </c>
      <c r="D23" s="86" t="inlineStr">
        <is>
          <t>Denpasar</t>
        </is>
      </c>
      <c r="E23" s="86" t="inlineStr">
        <is>
          <t>11 km</t>
        </is>
      </c>
      <c r="F23" s="86" t="inlineStr">
        <is>
          <t>25 menit</t>
        </is>
      </c>
      <c r="G23" s="86" t="inlineStr">
        <is>
          <t>U</t>
        </is>
      </c>
      <c r="T23" s="5" t="inlineStr">
        <is>
          <t>U</t>
        </is>
      </c>
      <c r="U23" s="5" t="inlineStr">
        <is>
          <t>Teuku Umar</t>
        </is>
      </c>
      <c r="V23" s="8" t="inlineStr">
        <is>
          <t>Indomaret Point Teuku Umar, Jl. Teuku Umar No.85 X, Pedungan, Denpasar Barat, Denpasar City, Bali 80222</t>
        </is>
      </c>
      <c r="W23" s="8" t="n">
        <v>25.1</v>
      </c>
      <c r="X23" s="8" t="n">
        <v>44</v>
      </c>
    </row>
    <row r="24" ht="43.5" customHeight="1">
      <c r="A24" s="89" t="n">
        <v>22</v>
      </c>
      <c r="B24" s="134" t="n"/>
      <c r="C24" s="86" t="inlineStr">
        <is>
          <t>Indomaret Gatot Subroto</t>
        </is>
      </c>
      <c r="D24" s="86" t="inlineStr">
        <is>
          <t>Denpasar</t>
        </is>
      </c>
      <c r="E24" s="86" t="inlineStr">
        <is>
          <t>12 km</t>
        </is>
      </c>
      <c r="F24" s="86" t="inlineStr">
        <is>
          <t>25 menit</t>
        </is>
      </c>
      <c r="G24" s="86" t="inlineStr">
        <is>
          <t>V</t>
        </is>
      </c>
      <c r="T24" s="5" t="inlineStr">
        <is>
          <t>V</t>
        </is>
      </c>
      <c r="U24" s="5" t="inlineStr">
        <is>
          <t>Gatsu</t>
        </is>
      </c>
      <c r="V24" s="8" t="inlineStr">
        <is>
          <t>Indomaret Gatsu Barat, Jl. Gatot Subroto Barat No.168, Padangsambian Kaja, Kec. Denpasar Bar., Kota Denpasar, Bali 80117</t>
        </is>
      </c>
      <c r="W24" s="8" t="n">
        <v>19.3</v>
      </c>
      <c r="X24" s="8" t="n">
        <v>34</v>
      </c>
    </row>
    <row r="25" ht="29" customHeight="1">
      <c r="A25" s="89" t="n">
        <v>23</v>
      </c>
      <c r="B25" s="134" t="n"/>
      <c r="C25" s="86" t="inlineStr">
        <is>
          <t>Indomaret Sanur</t>
        </is>
      </c>
      <c r="D25" s="86" t="inlineStr">
        <is>
          <t>Sanur</t>
        </is>
      </c>
      <c r="E25" s="86" t="inlineStr">
        <is>
          <t>18 km</t>
        </is>
      </c>
      <c r="F25" s="86" t="inlineStr">
        <is>
          <t>40 menit</t>
        </is>
      </c>
      <c r="G25" s="86" t="inlineStr">
        <is>
          <t>W</t>
        </is>
      </c>
      <c r="T25" s="5" t="inlineStr">
        <is>
          <t>W</t>
        </is>
      </c>
      <c r="U25" s="5" t="inlineStr">
        <is>
          <t>Sanur</t>
        </is>
      </c>
      <c r="V25" s="8" t="inlineStr">
        <is>
          <t>Indomaret By Pass Sanur 192, Jl. Bypass Ngurah Rai No.192, Sanur Kaja, Denpasar Selatan, Kota Denpasar, Bali 80227</t>
        </is>
      </c>
      <c r="W25" s="8" t="n">
        <v>29</v>
      </c>
      <c r="X25" s="8" t="n">
        <v>49</v>
      </c>
    </row>
    <row r="26" ht="29" customHeight="1">
      <c r="A26" s="89" t="n">
        <v>24</v>
      </c>
      <c r="B26" s="134" t="n"/>
      <c r="C26" s="86" t="inlineStr">
        <is>
          <t>Indomaret Renon</t>
        </is>
      </c>
      <c r="D26" s="86" t="inlineStr">
        <is>
          <t>Renon</t>
        </is>
      </c>
      <c r="E26" s="86" t="inlineStr">
        <is>
          <t>14 km</t>
        </is>
      </c>
      <c r="F26" s="86" t="inlineStr">
        <is>
          <t>30 menit</t>
        </is>
      </c>
      <c r="G26" s="86" t="inlineStr">
        <is>
          <t>X</t>
        </is>
      </c>
      <c r="T26" s="5" t="inlineStr">
        <is>
          <t>X</t>
        </is>
      </c>
      <c r="U26" s="5" t="inlineStr">
        <is>
          <t>Renon</t>
        </is>
      </c>
      <c r="V26" s="8" t="inlineStr">
        <is>
          <t>Indomaret Renon, Jl. Tukad Balian No.100, Renon, Denpasar Selatan, Denpasar City, Bali 80226</t>
        </is>
      </c>
      <c r="W26" s="8" t="n">
        <v>27.9</v>
      </c>
      <c r="X26" s="8" t="n">
        <v>52</v>
      </c>
    </row>
    <row r="27" ht="43.5" customHeight="1">
      <c r="A27" s="89" t="n">
        <v>25</v>
      </c>
      <c r="B27" s="135" t="n"/>
      <c r="C27" s="86" t="inlineStr">
        <is>
          <t>Indomaret Sesetan</t>
        </is>
      </c>
      <c r="D27" s="86" t="inlineStr">
        <is>
          <t>Sesetan</t>
        </is>
      </c>
      <c r="E27" s="86" t="inlineStr">
        <is>
          <t>15 km</t>
        </is>
      </c>
      <c r="F27" s="86" t="inlineStr">
        <is>
          <t>35 menit</t>
        </is>
      </c>
      <c r="G27" s="86" t="inlineStr">
        <is>
          <t>Y</t>
        </is>
      </c>
      <c r="T27" s="5" t="inlineStr">
        <is>
          <t>Y</t>
        </is>
      </c>
      <c r="U27" s="5" t="inlineStr">
        <is>
          <t>Sesetan</t>
        </is>
      </c>
      <c r="V27" s="8" t="inlineStr">
        <is>
          <t>Indomaret Sesetan 2, Jl. Raya Sesetan No.182, Sesetan, Denpasar Selatan, Denpasar City, Bali 80225</t>
        </is>
      </c>
      <c r="W27" s="8" t="n">
        <v>26.9</v>
      </c>
      <c r="X27" s="8" t="n">
        <v>49</v>
      </c>
    </row>
  </sheetData>
  <mergeCells count="1">
    <mergeCell ref="B3:B27"/>
  </mergeCells>
  <hyperlinks>
    <hyperlink xmlns:r="http://schemas.openxmlformats.org/officeDocument/2006/relationships" ref="V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M59"/>
  <sheetViews>
    <sheetView topLeftCell="A33" zoomScale="62" zoomScaleNormal="25" workbookViewId="0">
      <selection activeCell="F65" sqref="F65"/>
    </sheetView>
  </sheetViews>
  <sheetFormatPr baseColWidth="8" defaultRowHeight="14.5"/>
  <cols>
    <col width="7.36328125" customWidth="1" min="7" max="7"/>
    <col width="14.7265625" customWidth="1" min="8" max="8"/>
    <col width="21.36328125" customWidth="1" min="9" max="9"/>
    <col width="16" customWidth="1" min="10" max="10"/>
    <col width="14.453125" customWidth="1" min="11" max="11"/>
    <col width="9.26953125" customWidth="1" min="13" max="13"/>
    <col width="13" customWidth="1" min="14" max="14"/>
  </cols>
  <sheetData>
    <row r="2">
      <c r="G2" s="4" t="n"/>
      <c r="H2" s="4" t="inlineStr">
        <is>
          <t>Gudang</t>
        </is>
      </c>
      <c r="I2" s="9" t="inlineStr">
        <is>
          <t>https://maps.app.goo.gl/anV3zK58N5y8QEa77</t>
        </is>
      </c>
      <c r="J2" s="8" t="inlineStr">
        <is>
          <t>JARAK (KM)</t>
        </is>
      </c>
      <c r="K2" s="8" t="inlineStr">
        <is>
          <t>WAKTU (MENIT)</t>
        </is>
      </c>
      <c r="M2" s="122" t="inlineStr">
        <is>
          <t>TABEL OD MATRIX JARAK (KM)</t>
        </is>
      </c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  <c r="AB2" s="136" t="n"/>
      <c r="AC2" s="136" t="n"/>
      <c r="AD2" s="136" t="n"/>
      <c r="AE2" s="136" t="n"/>
      <c r="AF2" s="136" t="n"/>
      <c r="AG2" s="136" t="n"/>
      <c r="AH2" s="136" t="n"/>
      <c r="AI2" s="136" t="n"/>
      <c r="AJ2" s="136" t="n"/>
      <c r="AK2" s="136" t="n"/>
      <c r="AL2" s="136" t="n"/>
      <c r="AM2" s="137" t="n"/>
    </row>
    <row r="3">
      <c r="B3" s="90" t="inlineStr">
        <is>
          <t>OD-MATRIX DISTRIBUSI INDOMARET DI KABUPATEN BADUNG DAN KOTA DENPASAR</t>
        </is>
      </c>
      <c r="C3" s="138" t="n"/>
      <c r="D3" s="139" t="n"/>
      <c r="G3" s="86" t="inlineStr">
        <is>
          <t>A</t>
        </is>
      </c>
      <c r="H3" s="5" t="inlineStr">
        <is>
          <t>Mengwi</t>
        </is>
      </c>
      <c r="I3" s="8" t="inlineStr">
        <is>
          <t>Indomaret Mengwitani, Jalan Raya, Mengwitani, Mengwi, Badung Regency, Bali 80351</t>
        </is>
      </c>
      <c r="J3" s="10" t="n">
        <v>9.4</v>
      </c>
      <c r="K3" s="10" t="n">
        <v>14</v>
      </c>
      <c r="M3" s="4" t="n"/>
      <c r="N3" s="4" t="inlineStr">
        <is>
          <t>GUDANG</t>
        </is>
      </c>
      <c r="O3" s="4" t="inlineStr">
        <is>
          <t>A</t>
        </is>
      </c>
      <c r="P3" s="4" t="inlineStr">
        <is>
          <t>B</t>
        </is>
      </c>
      <c r="Q3" s="4" t="inlineStr">
        <is>
          <t>C</t>
        </is>
      </c>
      <c r="R3" s="4" t="inlineStr">
        <is>
          <t>D</t>
        </is>
      </c>
      <c r="S3" s="4" t="inlineStr">
        <is>
          <t>E</t>
        </is>
      </c>
      <c r="T3" s="4" t="inlineStr">
        <is>
          <t>F</t>
        </is>
      </c>
      <c r="U3" s="4" t="inlineStr">
        <is>
          <t>G</t>
        </is>
      </c>
      <c r="V3" s="4" t="inlineStr">
        <is>
          <t>H</t>
        </is>
      </c>
      <c r="W3" s="4" t="inlineStr">
        <is>
          <t>I</t>
        </is>
      </c>
      <c r="X3" s="4" t="inlineStr">
        <is>
          <t>J</t>
        </is>
      </c>
      <c r="Y3" s="4" t="inlineStr">
        <is>
          <t>K</t>
        </is>
      </c>
      <c r="Z3" s="4" t="inlineStr">
        <is>
          <t>L</t>
        </is>
      </c>
      <c r="AA3" s="4" t="inlineStr">
        <is>
          <t>M</t>
        </is>
      </c>
      <c r="AB3" s="4" t="inlineStr">
        <is>
          <t>N</t>
        </is>
      </c>
      <c r="AC3" s="4" t="inlineStr">
        <is>
          <t>O</t>
        </is>
      </c>
      <c r="AD3" s="4" t="inlineStr">
        <is>
          <t>P</t>
        </is>
      </c>
      <c r="AE3" s="4" t="inlineStr">
        <is>
          <t>Q</t>
        </is>
      </c>
      <c r="AF3" s="4" t="inlineStr">
        <is>
          <t>R</t>
        </is>
      </c>
      <c r="AG3" s="4" t="inlineStr">
        <is>
          <t>S</t>
        </is>
      </c>
      <c r="AH3" s="4" t="inlineStr">
        <is>
          <t>T</t>
        </is>
      </c>
      <c r="AI3" s="4" t="inlineStr">
        <is>
          <t>U</t>
        </is>
      </c>
      <c r="AJ3" s="4" t="inlineStr">
        <is>
          <t>V</t>
        </is>
      </c>
      <c r="AK3" s="4" t="inlineStr">
        <is>
          <t>W</t>
        </is>
      </c>
      <c r="AL3" s="4" t="inlineStr">
        <is>
          <t>X</t>
        </is>
      </c>
      <c r="AM3" s="4" t="inlineStr">
        <is>
          <t>Y</t>
        </is>
      </c>
    </row>
    <row r="4">
      <c r="B4" s="140" t="n"/>
      <c r="D4" s="141" t="n"/>
      <c r="G4" s="86" t="inlineStr">
        <is>
          <t>B</t>
        </is>
      </c>
      <c r="H4" s="5" t="inlineStr">
        <is>
          <t>Buduk</t>
        </is>
      </c>
      <c r="I4" s="8" t="inlineStr">
        <is>
          <t>Indomaret Buduk, Jl. Raya Buduk No.28, Buduk, Kec. Mengwi, Kabupaten Badung, Bali 80351</t>
        </is>
      </c>
      <c r="J4" s="10" t="n">
        <v>15.3</v>
      </c>
      <c r="K4" s="10" t="n">
        <v>25</v>
      </c>
      <c r="M4" s="6" t="inlineStr">
        <is>
          <t>GUDANG</t>
        </is>
      </c>
      <c r="N4" s="7" t="n">
        <v>0</v>
      </c>
      <c r="O4" s="8" t="n">
        <v>9.4</v>
      </c>
      <c r="P4" s="8" t="n">
        <v>15.3</v>
      </c>
      <c r="Q4" s="8" t="n">
        <v>14.1</v>
      </c>
      <c r="R4" s="8" t="n">
        <v>14.5</v>
      </c>
      <c r="S4" s="8" t="n">
        <v>20</v>
      </c>
      <c r="T4" s="8" t="n">
        <v>25</v>
      </c>
      <c r="U4" s="8" t="n">
        <v>23</v>
      </c>
      <c r="V4" s="8" t="n">
        <v>19.2</v>
      </c>
      <c r="W4" s="8" t="n">
        <v>18.8</v>
      </c>
      <c r="X4" s="8" t="n">
        <v>24.9</v>
      </c>
      <c r="Y4" s="8" t="n">
        <v>27.1</v>
      </c>
      <c r="Z4" s="8" t="n">
        <v>27.6</v>
      </c>
      <c r="AA4" s="8" t="n">
        <v>30.9</v>
      </c>
      <c r="AB4" s="8" t="n">
        <v>28.3</v>
      </c>
      <c r="AC4" s="8" t="n">
        <v>25.5</v>
      </c>
      <c r="AD4" s="8" t="n">
        <v>38</v>
      </c>
      <c r="AE4" s="8" t="n">
        <v>40.4</v>
      </c>
      <c r="AF4" s="8" t="n">
        <v>46.3</v>
      </c>
      <c r="AG4" s="8" t="n">
        <v>40.4</v>
      </c>
      <c r="AH4" s="8" t="n">
        <v>45.1</v>
      </c>
      <c r="AI4" s="8" t="n">
        <v>25.1</v>
      </c>
      <c r="AJ4" s="8" t="n">
        <v>19.3</v>
      </c>
      <c r="AK4" s="8" t="n">
        <v>29</v>
      </c>
      <c r="AL4" s="8" t="n">
        <v>27.9</v>
      </c>
      <c r="AM4" s="8" t="n">
        <v>26.9</v>
      </c>
    </row>
    <row r="5">
      <c r="B5" s="140" t="n"/>
      <c r="D5" s="141" t="n"/>
      <c r="G5" s="86" t="inlineStr">
        <is>
          <t>C</t>
        </is>
      </c>
      <c r="H5" s="5" t="inlineStr">
        <is>
          <t>Sempidi</t>
        </is>
      </c>
      <c r="I5" s="8" t="inlineStr">
        <is>
          <t>Indomaret Sempidi, Jl. Raya Sempidi No.25, Sempidi, Mengwi, Badung Regency, Bali 80351</t>
        </is>
      </c>
      <c r="J5" s="10" t="n">
        <v>14.1</v>
      </c>
      <c r="K5" s="10" t="n">
        <v>23</v>
      </c>
      <c r="M5" s="6" t="inlineStr">
        <is>
          <t>A</t>
        </is>
      </c>
      <c r="N5" s="8" t="n">
        <v>9.4</v>
      </c>
      <c r="O5" s="7" t="n">
        <v>0</v>
      </c>
      <c r="P5" s="5" t="n">
        <v>8</v>
      </c>
      <c r="Q5" s="5" t="n">
        <v>6.8</v>
      </c>
      <c r="R5" s="5" t="n">
        <v>7.2</v>
      </c>
      <c r="S5" s="5" t="n">
        <v>12.7</v>
      </c>
      <c r="T5" s="5" t="n">
        <v>13.2</v>
      </c>
      <c r="U5" s="5" t="n">
        <v>13.7</v>
      </c>
      <c r="V5" s="5" t="n">
        <v>10.8</v>
      </c>
      <c r="W5" s="5" t="n">
        <v>11.5</v>
      </c>
      <c r="X5" s="5" t="n">
        <v>16.7</v>
      </c>
      <c r="Y5" s="5" t="n">
        <v>21.1</v>
      </c>
      <c r="Z5" s="5" t="n">
        <v>21.8</v>
      </c>
      <c r="AA5" s="5" t="n">
        <v>21</v>
      </c>
      <c r="AB5" s="5" t="n">
        <v>23</v>
      </c>
      <c r="AC5" s="5" t="n">
        <v>18.2</v>
      </c>
      <c r="AD5" s="5" t="n">
        <v>30.7</v>
      </c>
      <c r="AE5" s="5" t="n">
        <v>33</v>
      </c>
      <c r="AF5" s="5" t="n">
        <v>38.3</v>
      </c>
      <c r="AG5" s="5" t="n">
        <v>33.1</v>
      </c>
      <c r="AH5" s="5" t="n">
        <v>37.8</v>
      </c>
      <c r="AI5" s="5" t="n">
        <v>17.8</v>
      </c>
      <c r="AJ5" s="5" t="n">
        <v>12</v>
      </c>
      <c r="AK5" s="5" t="n">
        <v>21.6</v>
      </c>
      <c r="AL5" s="5" t="n">
        <v>20.9</v>
      </c>
      <c r="AM5" s="5" t="n">
        <v>19.6</v>
      </c>
    </row>
    <row r="6">
      <c r="B6" s="140" t="n"/>
      <c r="D6" s="141" t="n"/>
      <c r="G6" s="86" t="inlineStr">
        <is>
          <t>D</t>
        </is>
      </c>
      <c r="H6" s="5" t="inlineStr">
        <is>
          <t>Dalung</t>
        </is>
      </c>
      <c r="I6" s="8" t="inlineStr">
        <is>
          <t>Indomaret DALUNG, Jl. Raya Dalung No.91, Dalung, Kec. Kuta Utara, Kabupaten Badung, Bali 80351</t>
        </is>
      </c>
      <c r="J6" s="10" t="n">
        <v>14.5</v>
      </c>
      <c r="K6" s="10" t="n">
        <v>24</v>
      </c>
      <c r="M6" s="6" t="inlineStr">
        <is>
          <t>B</t>
        </is>
      </c>
      <c r="N6" s="8" t="n">
        <v>15.3</v>
      </c>
      <c r="O6" s="5" t="n">
        <v>8</v>
      </c>
      <c r="P6" s="7" t="n">
        <v>0</v>
      </c>
      <c r="Q6" s="5" t="n">
        <v>3.6</v>
      </c>
      <c r="R6" s="5" t="n">
        <v>1</v>
      </c>
      <c r="S6" s="5" t="n">
        <v>5.1</v>
      </c>
      <c r="T6" s="5" t="n">
        <v>5.6</v>
      </c>
      <c r="U6" s="5" t="n">
        <v>6.1</v>
      </c>
      <c r="V6" s="5" t="n">
        <v>5.3</v>
      </c>
      <c r="W6" s="5" t="n">
        <v>4.9</v>
      </c>
      <c r="X6" s="5" t="n">
        <v>9.800000000000001</v>
      </c>
      <c r="Y6" s="5" t="n">
        <v>13.3</v>
      </c>
      <c r="Z6" s="5" t="n">
        <v>13.8</v>
      </c>
      <c r="AA6" s="5" t="n">
        <v>14.3</v>
      </c>
      <c r="AB6" s="5" t="n">
        <v>14.3</v>
      </c>
      <c r="AC6" s="5" t="n">
        <v>11.7</v>
      </c>
      <c r="AD6" s="5" t="n">
        <v>24.1</v>
      </c>
      <c r="AE6" s="5" t="n">
        <v>26.4</v>
      </c>
      <c r="AF6" s="5" t="n">
        <v>31.6</v>
      </c>
      <c r="AG6" s="5" t="n">
        <v>26.4</v>
      </c>
      <c r="AH6" s="5" t="n">
        <v>31.1</v>
      </c>
      <c r="AI6" s="5" t="n">
        <v>11.7</v>
      </c>
      <c r="AJ6" s="5" t="n">
        <v>5.6</v>
      </c>
      <c r="AK6" s="5" t="n">
        <v>18.9</v>
      </c>
      <c r="AL6" s="5" t="n">
        <v>16.6</v>
      </c>
      <c r="AM6" s="5" t="n">
        <v>15.7</v>
      </c>
    </row>
    <row r="7">
      <c r="B7" s="140" t="n"/>
      <c r="D7" s="141" t="n"/>
      <c r="G7" s="86" t="inlineStr">
        <is>
          <t>E</t>
        </is>
      </c>
      <c r="H7" s="5" t="inlineStr">
        <is>
          <t>Tibubeneng</t>
        </is>
      </c>
      <c r="I7" s="8" t="inlineStr">
        <is>
          <t>INDOMARET RAYA PADONAN 25, Jl. Raya Padonan No.25, Tibubeneng, Kec. Kuta Utara, Kabupaten Badung, Bali 80361</t>
        </is>
      </c>
      <c r="J7" s="10" t="n">
        <v>20</v>
      </c>
      <c r="K7" s="10" t="n">
        <v>34</v>
      </c>
      <c r="M7" s="6" t="inlineStr">
        <is>
          <t>C</t>
        </is>
      </c>
      <c r="N7" s="8" t="n">
        <v>14.1</v>
      </c>
      <c r="O7" s="5" t="n">
        <v>6.8</v>
      </c>
      <c r="P7" s="5" t="n">
        <v>3.6</v>
      </c>
      <c r="Q7" s="7" t="n">
        <v>0</v>
      </c>
      <c r="R7" s="5" t="n">
        <v>2.9</v>
      </c>
      <c r="S7" s="5" t="n">
        <v>6.4</v>
      </c>
      <c r="T7" s="5" t="n">
        <v>6.9</v>
      </c>
      <c r="U7" s="5" t="n">
        <v>8.800000000000001</v>
      </c>
      <c r="V7" s="5" t="n">
        <v>8.9</v>
      </c>
      <c r="W7" s="5" t="n">
        <v>5.1</v>
      </c>
      <c r="X7" s="5" t="n">
        <v>10.3</v>
      </c>
      <c r="Y7" s="5" t="n">
        <v>13.4</v>
      </c>
      <c r="Z7" s="5" t="n">
        <v>13.9</v>
      </c>
      <c r="AA7" s="5" t="n">
        <v>14.2</v>
      </c>
      <c r="AB7" s="5" t="n">
        <v>14.2</v>
      </c>
      <c r="AC7" s="5" t="n">
        <v>11.8</v>
      </c>
      <c r="AD7" s="5" t="n">
        <v>23.9</v>
      </c>
      <c r="AE7" s="5" t="n">
        <v>26.2</v>
      </c>
      <c r="AF7" s="5" t="n">
        <v>31.5</v>
      </c>
      <c r="AG7" s="5" t="n">
        <v>26.2</v>
      </c>
      <c r="AH7" s="5" t="n">
        <v>30.9</v>
      </c>
      <c r="AI7" s="5" t="n">
        <v>10.3</v>
      </c>
      <c r="AJ7" s="5" t="n">
        <v>5.1</v>
      </c>
      <c r="AK7" s="5" t="n">
        <v>16</v>
      </c>
      <c r="AL7" s="5" t="n">
        <v>14.4</v>
      </c>
      <c r="AM7" s="5" t="n">
        <v>12.8</v>
      </c>
    </row>
    <row r="8">
      <c r="B8" s="140" t="n"/>
      <c r="D8" s="141" t="n"/>
      <c r="G8" s="86" t="inlineStr">
        <is>
          <t>F</t>
        </is>
      </c>
      <c r="H8" s="5" t="inlineStr">
        <is>
          <t>Berawa</t>
        </is>
      </c>
      <c r="I8" s="8" t="inlineStr">
        <is>
          <t>Indomaret, Jl. Pantai Berawa No.12, Tibubeneng, Kec. Kuta Utara, Kabupaten Badung, Bali 80361</t>
        </is>
      </c>
      <c r="J8" s="10" t="n">
        <v>25</v>
      </c>
      <c r="K8" s="10" t="n">
        <v>35</v>
      </c>
      <c r="M8" s="6" t="inlineStr">
        <is>
          <t>D</t>
        </is>
      </c>
      <c r="N8" s="8" t="n">
        <v>14.5</v>
      </c>
      <c r="O8" s="5" t="n">
        <v>7.2</v>
      </c>
      <c r="P8" s="5" t="n">
        <v>1</v>
      </c>
      <c r="Q8" s="5" t="n">
        <v>2.9</v>
      </c>
      <c r="R8" s="7" t="n">
        <v>0</v>
      </c>
      <c r="S8" s="5" t="n">
        <v>4.7</v>
      </c>
      <c r="T8" s="5" t="n">
        <v>5.2</v>
      </c>
      <c r="U8" s="5" t="n">
        <v>7</v>
      </c>
      <c r="V8" s="5" t="n">
        <v>6.3</v>
      </c>
      <c r="W8" s="5" t="n">
        <v>4.2</v>
      </c>
      <c r="X8" s="5" t="n">
        <v>9.5</v>
      </c>
      <c r="Y8" s="5" t="n">
        <v>12.5</v>
      </c>
      <c r="Z8" s="5" t="n">
        <v>13.1</v>
      </c>
      <c r="AA8" s="5" t="n">
        <v>13.6</v>
      </c>
      <c r="AB8" s="5" t="n">
        <v>13.6</v>
      </c>
      <c r="AC8" s="5" t="n">
        <v>11</v>
      </c>
      <c r="AD8" s="5" t="n">
        <v>23.4</v>
      </c>
      <c r="AE8" s="5" t="n">
        <v>25.7</v>
      </c>
      <c r="AF8" s="5" t="n">
        <v>30.9</v>
      </c>
      <c r="AG8" s="5" t="n">
        <v>26.9</v>
      </c>
      <c r="AH8" s="5" t="n">
        <v>30.4</v>
      </c>
      <c r="AI8" s="5" t="n">
        <v>11</v>
      </c>
      <c r="AJ8" s="5" t="n">
        <v>4.9</v>
      </c>
      <c r="AK8" s="5" t="n">
        <v>18.2</v>
      </c>
      <c r="AL8" s="5" t="n">
        <v>15.9</v>
      </c>
      <c r="AM8" s="5" t="n">
        <v>14.3</v>
      </c>
    </row>
    <row r="9">
      <c r="B9" s="140" t="n"/>
      <c r="D9" s="141" t="n"/>
      <c r="G9" s="86" t="inlineStr">
        <is>
          <t>G</t>
        </is>
      </c>
      <c r="H9" s="5" t="inlineStr">
        <is>
          <t>Batu Bolong</t>
        </is>
      </c>
      <c r="I9" s="8" t="inlineStr">
        <is>
          <t>INDOMARET BATU BOLONG 12, Jl. Pantai Batu Bolong No.12, Canggu, Kec. Kuta Utara, Kabupaten Badung, Bali 80361</t>
        </is>
      </c>
      <c r="J9" s="10" t="n">
        <v>23</v>
      </c>
      <c r="K9" s="10" t="n">
        <v>36</v>
      </c>
      <c r="M9" s="6" t="inlineStr">
        <is>
          <t>E</t>
        </is>
      </c>
      <c r="N9" s="8" t="n">
        <v>20</v>
      </c>
      <c r="O9" s="5" t="n">
        <v>12.7</v>
      </c>
      <c r="P9" s="5" t="n">
        <v>5.1</v>
      </c>
      <c r="Q9" s="5" t="n">
        <v>6.4</v>
      </c>
      <c r="R9" s="5" t="n">
        <v>4.7</v>
      </c>
      <c r="S9" s="7" t="n">
        <v>0</v>
      </c>
      <c r="T9" s="5" t="n">
        <v>5.2</v>
      </c>
      <c r="U9" s="5" t="n">
        <v>7</v>
      </c>
      <c r="V9" s="5" t="n">
        <v>6.3</v>
      </c>
      <c r="W9" s="5" t="n">
        <v>4.2</v>
      </c>
      <c r="X9" s="5" t="n">
        <v>9.5</v>
      </c>
      <c r="Y9" s="5" t="n">
        <v>12.5</v>
      </c>
      <c r="Z9" s="5" t="n">
        <v>13.1</v>
      </c>
      <c r="AA9" s="5" t="n">
        <v>13.6</v>
      </c>
      <c r="AB9" s="5" t="n">
        <v>13.6</v>
      </c>
      <c r="AC9" s="5" t="n">
        <v>11</v>
      </c>
      <c r="AD9" s="5" t="n">
        <v>23.4</v>
      </c>
      <c r="AE9" s="5" t="n">
        <v>25.7</v>
      </c>
      <c r="AF9" s="5" t="n">
        <v>30.9</v>
      </c>
      <c r="AG9" s="5" t="n">
        <v>25.7</v>
      </c>
      <c r="AH9" s="5" t="n">
        <v>30.4</v>
      </c>
      <c r="AI9" s="5" t="n">
        <v>11</v>
      </c>
      <c r="AJ9" s="5" t="n">
        <v>4.9</v>
      </c>
      <c r="AK9" s="5" t="n">
        <v>16</v>
      </c>
      <c r="AL9" s="5" t="n">
        <v>15.9</v>
      </c>
      <c r="AM9" s="5" t="n">
        <v>15</v>
      </c>
    </row>
    <row r="10">
      <c r="B10" s="140" t="n"/>
      <c r="D10" s="141" t="n"/>
      <c r="G10" s="86" t="inlineStr">
        <is>
          <t>H</t>
        </is>
      </c>
      <c r="H10" s="5" t="inlineStr">
        <is>
          <t>Pererenan</t>
        </is>
      </c>
      <c r="I10" s="8" t="inlineStr">
        <is>
          <t>Pererenan Beach Indomaret, 948M+WJC, Jl. Pantai Pererenan, Pererenan, Mengwi, Badung Regency, Bali 80351</t>
        </is>
      </c>
      <c r="J10" s="10" t="n">
        <v>19.2</v>
      </c>
      <c r="K10" s="10" t="n">
        <v>31</v>
      </c>
      <c r="M10" s="6" t="inlineStr">
        <is>
          <t>F</t>
        </is>
      </c>
      <c r="N10" s="8" t="n">
        <v>25</v>
      </c>
      <c r="O10" s="5" t="n">
        <v>13.2</v>
      </c>
      <c r="P10" s="5" t="n">
        <v>5.6</v>
      </c>
      <c r="Q10" s="5" t="n">
        <v>6.9</v>
      </c>
      <c r="R10" s="5" t="n">
        <v>5.2</v>
      </c>
      <c r="S10" s="5" t="n">
        <v>5.2</v>
      </c>
      <c r="T10" s="7" t="n">
        <v>0</v>
      </c>
      <c r="U10" s="5" t="n">
        <v>2.7</v>
      </c>
      <c r="V10" s="5" t="n">
        <v>3</v>
      </c>
      <c r="W10" s="5" t="n">
        <v>3.8</v>
      </c>
      <c r="X10" s="5" t="n">
        <v>4.9</v>
      </c>
      <c r="Y10" s="5" t="n">
        <v>9.6</v>
      </c>
      <c r="Z10" s="5" t="n">
        <v>10.2</v>
      </c>
      <c r="AA10" s="5" t="n">
        <v>10.7</v>
      </c>
      <c r="AB10" s="5" t="n">
        <v>10.7</v>
      </c>
      <c r="AC10" s="5" t="n">
        <v>8.300000000000001</v>
      </c>
      <c r="AD10" s="5" t="n">
        <v>20.4</v>
      </c>
      <c r="AE10" s="5" t="n">
        <v>22.7</v>
      </c>
      <c r="AF10" s="5" t="n">
        <v>27.9</v>
      </c>
      <c r="AG10" s="5" t="n">
        <v>22.7</v>
      </c>
      <c r="AH10" s="5" t="n">
        <v>27.4</v>
      </c>
      <c r="AI10" s="5" t="n">
        <v>10.2</v>
      </c>
      <c r="AJ10" s="5" t="n">
        <v>4.9</v>
      </c>
      <c r="AK10" s="5" t="n">
        <v>15.2</v>
      </c>
      <c r="AL10" s="5" t="n">
        <v>15.1</v>
      </c>
      <c r="AM10" s="5" t="n">
        <v>12.8</v>
      </c>
    </row>
    <row r="11">
      <c r="B11" s="140" t="n"/>
      <c r="D11" s="141" t="n"/>
      <c r="G11" s="86" t="inlineStr">
        <is>
          <t>I</t>
        </is>
      </c>
      <c r="H11" s="5" t="inlineStr">
        <is>
          <t>Kerobokan</t>
        </is>
      </c>
      <c r="I11" s="8" t="inlineStr">
        <is>
          <t>Indomaret Raya Kerobokan, 956F+MM7, Kerobokan Kaja, Kec. Kuta Utara, Kabupaten Badung, Bali 80361</t>
        </is>
      </c>
      <c r="J11" s="10" t="n">
        <v>18.8</v>
      </c>
      <c r="K11" s="10" t="n">
        <v>36</v>
      </c>
      <c r="M11" s="6" t="inlineStr">
        <is>
          <t>G</t>
        </is>
      </c>
      <c r="N11" s="8" t="n">
        <v>23</v>
      </c>
      <c r="O11" s="5" t="n">
        <v>13.7</v>
      </c>
      <c r="P11" s="5" t="n">
        <v>6.1</v>
      </c>
      <c r="Q11" s="5" t="n">
        <v>8.800000000000001</v>
      </c>
      <c r="R11" s="5" t="n">
        <v>7</v>
      </c>
      <c r="S11" s="5" t="n">
        <v>7</v>
      </c>
      <c r="T11" s="5" t="n">
        <v>2.7</v>
      </c>
      <c r="U11" s="7" t="n">
        <v>0</v>
      </c>
      <c r="V11" s="5" t="n">
        <v>3</v>
      </c>
      <c r="W11" s="5" t="n">
        <v>5.5</v>
      </c>
      <c r="X11" s="5" t="n">
        <v>5</v>
      </c>
      <c r="Y11" s="5" t="n">
        <v>11.3</v>
      </c>
      <c r="Z11" s="5" t="n">
        <v>11.8</v>
      </c>
      <c r="AA11" s="5" t="n">
        <v>12.3</v>
      </c>
      <c r="AB11" s="5" t="n">
        <v>12.3</v>
      </c>
      <c r="AC11" s="5" t="n">
        <v>10</v>
      </c>
      <c r="AD11" s="5" t="n">
        <v>22.1</v>
      </c>
      <c r="AE11" s="5" t="n">
        <v>24.4</v>
      </c>
      <c r="AF11" s="5" t="n">
        <v>29.6</v>
      </c>
      <c r="AG11" s="5" t="n">
        <v>24.4</v>
      </c>
      <c r="AH11" s="5" t="n">
        <v>29.1</v>
      </c>
      <c r="AI11" s="5" t="n">
        <v>12</v>
      </c>
      <c r="AJ11" s="5" t="n">
        <v>6.6</v>
      </c>
      <c r="AK11" s="5" t="n">
        <v>16.9</v>
      </c>
      <c r="AL11" s="5" t="n">
        <v>16.9</v>
      </c>
      <c r="AM11" s="5" t="n">
        <v>14.5</v>
      </c>
    </row>
    <row r="12">
      <c r="B12" s="140" t="n"/>
      <c r="D12" s="141" t="n"/>
      <c r="G12" s="86" t="inlineStr">
        <is>
          <t>J</t>
        </is>
      </c>
      <c r="H12" s="5" t="inlineStr">
        <is>
          <t>Umalas</t>
        </is>
      </c>
      <c r="I12" s="8" t="inlineStr">
        <is>
          <t>Indomaret - Umalas, Jl. Umalas II No.35, Kerobokan Kelod, Kuta Utara, Badung Regency, Bali 80361</t>
        </is>
      </c>
      <c r="J12" s="10" t="n">
        <v>24.9</v>
      </c>
      <c r="K12" s="10" t="n">
        <v>42</v>
      </c>
      <c r="M12" s="6" t="inlineStr">
        <is>
          <t>H</t>
        </is>
      </c>
      <c r="N12" s="8" t="n">
        <v>19.2</v>
      </c>
      <c r="O12" s="5" t="n">
        <v>10.8</v>
      </c>
      <c r="P12" s="5" t="n">
        <v>5.3</v>
      </c>
      <c r="Q12" s="5" t="n">
        <v>8.9</v>
      </c>
      <c r="R12" s="5" t="n">
        <v>6.3</v>
      </c>
      <c r="S12" s="5" t="n">
        <v>6.3</v>
      </c>
      <c r="T12" s="5" t="n">
        <v>3</v>
      </c>
      <c r="U12" s="5" t="n">
        <v>3</v>
      </c>
      <c r="V12" s="7" t="n">
        <v>0</v>
      </c>
      <c r="W12" s="5" t="n">
        <v>5.9</v>
      </c>
      <c r="X12" s="5" t="n">
        <v>7.4</v>
      </c>
      <c r="Y12" s="5" t="n">
        <v>11.7</v>
      </c>
      <c r="Z12" s="5" t="n">
        <v>12.2</v>
      </c>
      <c r="AA12" s="5" t="n">
        <v>12.7</v>
      </c>
      <c r="AB12" s="5" t="n">
        <v>12.7</v>
      </c>
      <c r="AC12" s="5" t="n">
        <v>10.3</v>
      </c>
      <c r="AD12" s="5" t="n">
        <v>22.4</v>
      </c>
      <c r="AE12" s="5" t="n">
        <v>24.7</v>
      </c>
      <c r="AF12" s="5" t="n">
        <v>30</v>
      </c>
      <c r="AG12" s="5" t="n">
        <v>24.8</v>
      </c>
      <c r="AH12" s="5" t="n">
        <v>29.5</v>
      </c>
      <c r="AI12" s="5" t="n">
        <v>12.4</v>
      </c>
      <c r="AJ12" s="5" t="n">
        <v>6.9</v>
      </c>
      <c r="AK12" s="5" t="n">
        <v>17.3</v>
      </c>
      <c r="AL12" s="5" t="n">
        <v>17.2</v>
      </c>
      <c r="AM12" s="5" t="n">
        <v>14.8</v>
      </c>
    </row>
    <row r="13">
      <c r="B13" s="140" t="n"/>
      <c r="D13" s="141" t="n"/>
      <c r="G13" s="86" t="inlineStr">
        <is>
          <t>K</t>
        </is>
      </c>
      <c r="H13" s="5" t="inlineStr">
        <is>
          <t>Nakula</t>
        </is>
      </c>
      <c r="I13" s="8" t="inlineStr">
        <is>
          <t>INDOMARET NAKULA 73, Jl. Nakula No.73, Legian, Kec. Kuta, Kabupaten Badung, Bali 80361</t>
        </is>
      </c>
      <c r="J13" s="10" t="n">
        <v>27.1</v>
      </c>
      <c r="K13" s="10" t="n">
        <v>51</v>
      </c>
      <c r="M13" s="6" t="inlineStr">
        <is>
          <t>I</t>
        </is>
      </c>
      <c r="N13" s="8" t="n">
        <v>18.8</v>
      </c>
      <c r="O13" s="5" t="n">
        <v>11.5</v>
      </c>
      <c r="P13" s="5" t="n">
        <v>4.9</v>
      </c>
      <c r="Q13" s="5" t="n">
        <v>5.1</v>
      </c>
      <c r="R13" s="5" t="n">
        <v>4.2</v>
      </c>
      <c r="S13" s="5" t="n">
        <v>4.2</v>
      </c>
      <c r="T13" s="5" t="n">
        <v>3.8</v>
      </c>
      <c r="U13" s="5" t="n">
        <v>5.5</v>
      </c>
      <c r="V13" s="5" t="n">
        <v>5.9</v>
      </c>
      <c r="W13" s="7" t="n">
        <v>0</v>
      </c>
      <c r="X13" s="5" t="n">
        <v>5.3</v>
      </c>
      <c r="Y13" s="5" t="n">
        <v>8.4</v>
      </c>
      <c r="Z13" s="5" t="n">
        <v>8.9</v>
      </c>
      <c r="AA13" s="5" t="n">
        <v>9.5</v>
      </c>
      <c r="AB13" s="5" t="n">
        <v>9.4</v>
      </c>
      <c r="AC13" s="5" t="n">
        <v>6.8</v>
      </c>
      <c r="AD13" s="5" t="n">
        <v>19.2</v>
      </c>
      <c r="AE13" s="5" t="n">
        <v>21.5</v>
      </c>
      <c r="AF13" s="5" t="n">
        <v>26.8</v>
      </c>
      <c r="AG13" s="5" t="n">
        <v>21.2</v>
      </c>
      <c r="AH13" s="5" t="n">
        <v>26.2</v>
      </c>
      <c r="AI13" s="5" t="n">
        <v>8.300000000000001</v>
      </c>
      <c r="AJ13" s="5" t="n">
        <v>1.1</v>
      </c>
      <c r="AK13" s="5" t="n">
        <v>13</v>
      </c>
      <c r="AL13" s="5" t="n">
        <v>12.9</v>
      </c>
      <c r="AM13" s="5" t="n">
        <v>10.8</v>
      </c>
    </row>
    <row r="14">
      <c r="B14" s="140" t="n"/>
      <c r="D14" s="141" t="n"/>
      <c r="G14" s="86" t="inlineStr">
        <is>
          <t>L</t>
        </is>
      </c>
      <c r="H14" s="5" t="inlineStr">
        <is>
          <t>Dewi Sri</t>
        </is>
      </c>
      <c r="I14" s="8" t="inlineStr">
        <is>
          <t>Indomaret Dewi Sri 18 V, Jalan Dewi Sri, Legian, Badung Regency, Bali</t>
        </is>
      </c>
      <c r="J14" s="10" t="n">
        <v>27.6</v>
      </c>
      <c r="K14" s="10" t="n">
        <v>53</v>
      </c>
      <c r="M14" s="6" t="inlineStr">
        <is>
          <t>J</t>
        </is>
      </c>
      <c r="N14" s="8" t="n">
        <v>24.9</v>
      </c>
      <c r="O14" s="5" t="n">
        <v>16.7</v>
      </c>
      <c r="P14" s="5" t="n">
        <v>9.800000000000001</v>
      </c>
      <c r="Q14" s="5" t="n">
        <v>10.3</v>
      </c>
      <c r="R14" s="5" t="n">
        <v>9.5</v>
      </c>
      <c r="S14" s="5" t="n">
        <v>9.5</v>
      </c>
      <c r="T14" s="5" t="n">
        <v>4.9</v>
      </c>
      <c r="U14" s="5" t="n">
        <v>5</v>
      </c>
      <c r="V14" s="5" t="n">
        <v>7.4</v>
      </c>
      <c r="W14" s="5" t="n">
        <v>5.3</v>
      </c>
      <c r="X14" s="7" t="n">
        <v>0</v>
      </c>
      <c r="Y14" s="5" t="n">
        <v>6.7</v>
      </c>
      <c r="Z14" s="5" t="n">
        <v>7.2</v>
      </c>
      <c r="AA14" s="5" t="n">
        <v>7.7</v>
      </c>
      <c r="AB14" s="5" t="n">
        <v>8.1</v>
      </c>
      <c r="AC14" s="5" t="n">
        <v>5.4</v>
      </c>
      <c r="AD14" s="5" t="n">
        <v>17.4</v>
      </c>
      <c r="AE14" s="5" t="n">
        <v>20.1</v>
      </c>
      <c r="AF14" s="5" t="n">
        <v>25.3</v>
      </c>
      <c r="AG14" s="5" t="n">
        <v>19.8</v>
      </c>
      <c r="AH14" s="5" t="n">
        <v>24.5</v>
      </c>
      <c r="AI14" s="5" t="n">
        <v>7.6</v>
      </c>
      <c r="AJ14" s="5" t="n">
        <v>5.1</v>
      </c>
      <c r="AK14" s="5" t="n">
        <v>15.7</v>
      </c>
      <c r="AL14" s="5" t="n">
        <v>18.4</v>
      </c>
      <c r="AM14" s="5" t="n">
        <v>10.2</v>
      </c>
    </row>
    <row r="15">
      <c r="B15" s="140" t="n"/>
      <c r="D15" s="141" t="n"/>
      <c r="G15" s="86" t="inlineStr">
        <is>
          <t>M</t>
        </is>
      </c>
      <c r="H15" s="5" t="inlineStr">
        <is>
          <t>Kuta</t>
        </is>
      </c>
      <c r="I15" s="8" t="inlineStr">
        <is>
          <t>Indomaret Kuta, Jl. Raya Kuta No.83E, Kuta, Kec. Kuta, Kabupaten Badung, Bali 80361</t>
        </is>
      </c>
      <c r="J15" s="10" t="n">
        <v>30.9</v>
      </c>
      <c r="K15" s="10" t="n">
        <v>58</v>
      </c>
      <c r="M15" s="6" t="inlineStr">
        <is>
          <t>K</t>
        </is>
      </c>
      <c r="N15" s="8" t="n">
        <v>27.1</v>
      </c>
      <c r="O15" s="5" t="n">
        <v>21.1</v>
      </c>
      <c r="P15" s="5" t="n">
        <v>13.3</v>
      </c>
      <c r="Q15" s="5" t="n">
        <v>13.4</v>
      </c>
      <c r="R15" s="5" t="n">
        <v>12.5</v>
      </c>
      <c r="S15" s="5" t="n">
        <v>12.5</v>
      </c>
      <c r="T15" s="5" t="n">
        <v>9.6</v>
      </c>
      <c r="U15" s="5" t="n">
        <v>11.3</v>
      </c>
      <c r="V15" s="5" t="n">
        <v>11.7</v>
      </c>
      <c r="W15" s="5" t="n">
        <v>8.4</v>
      </c>
      <c r="X15" s="5" t="n">
        <v>6.7</v>
      </c>
      <c r="Y15" s="7" t="n">
        <v>0</v>
      </c>
      <c r="Z15" s="5" t="n">
        <v>1.2</v>
      </c>
      <c r="AA15" s="5" t="n">
        <v>1.3</v>
      </c>
      <c r="AB15" s="5" t="n">
        <v>1.5</v>
      </c>
      <c r="AC15" s="5" t="n">
        <v>2.3</v>
      </c>
      <c r="AD15" s="5" t="n">
        <v>11</v>
      </c>
      <c r="AE15" s="5" t="n">
        <v>13.7</v>
      </c>
      <c r="AF15" s="5" t="n">
        <v>19.3</v>
      </c>
      <c r="AG15" s="5" t="n">
        <v>13.4</v>
      </c>
      <c r="AH15" s="5" t="n">
        <v>18.1</v>
      </c>
      <c r="AI15" s="5" t="n">
        <v>9.800000000000001</v>
      </c>
      <c r="AJ15" s="5" t="n">
        <v>14.9</v>
      </c>
      <c r="AK15" s="5" t="n">
        <v>18.9</v>
      </c>
      <c r="AL15" s="5" t="n">
        <v>12</v>
      </c>
      <c r="AM15" s="5" t="n">
        <v>9.699999999999999</v>
      </c>
    </row>
    <row r="16">
      <c r="B16" s="140" t="n"/>
      <c r="D16" s="141" t="n"/>
      <c r="G16" s="86" t="inlineStr">
        <is>
          <t>N</t>
        </is>
      </c>
      <c r="H16" s="5" t="inlineStr">
        <is>
          <t>Sunset Road</t>
        </is>
      </c>
      <c r="I16" s="8" t="inlineStr">
        <is>
          <t>Indomaret Sunset Road 37, Jl. Sunset Road No.139, Kuta, Badung Regency, Bali 80361</t>
        </is>
      </c>
      <c r="J16" s="10" t="n">
        <v>28.3</v>
      </c>
      <c r="K16" s="10" t="n">
        <v>50</v>
      </c>
      <c r="M16" s="6" t="inlineStr">
        <is>
          <t>L</t>
        </is>
      </c>
      <c r="N16" s="8" t="n">
        <v>27.6</v>
      </c>
      <c r="O16" s="5" t="n">
        <v>21.8</v>
      </c>
      <c r="P16" s="5" t="n">
        <v>13.8</v>
      </c>
      <c r="Q16" s="5" t="n">
        <v>13.9</v>
      </c>
      <c r="R16" s="5" t="n">
        <v>13.1</v>
      </c>
      <c r="S16" s="5" t="n">
        <v>13.1</v>
      </c>
      <c r="T16" s="5" t="n">
        <v>10.2</v>
      </c>
      <c r="U16" s="5" t="n">
        <v>11.8</v>
      </c>
      <c r="V16" s="5" t="n">
        <v>12.2</v>
      </c>
      <c r="W16" s="5" t="n">
        <v>8.9</v>
      </c>
      <c r="X16" s="5" t="n">
        <v>7.2</v>
      </c>
      <c r="Y16" s="5" t="n">
        <v>1.2</v>
      </c>
      <c r="Z16" s="7" t="n">
        <v>0</v>
      </c>
      <c r="AA16" s="5" t="n">
        <v>3.4</v>
      </c>
      <c r="AB16" s="5" t="n">
        <v>1.7</v>
      </c>
      <c r="AC16" s="5" t="n">
        <v>2</v>
      </c>
      <c r="AD16" s="5" t="n">
        <v>11</v>
      </c>
      <c r="AE16" s="5" t="n">
        <v>14</v>
      </c>
      <c r="AF16" s="5" t="n">
        <v>18.9</v>
      </c>
      <c r="AG16" s="5" t="n">
        <v>13.3</v>
      </c>
      <c r="AH16" s="5" t="n">
        <v>18</v>
      </c>
      <c r="AI16" s="5" t="n">
        <v>5.6</v>
      </c>
      <c r="AJ16" s="5" t="n">
        <v>9.4</v>
      </c>
      <c r="AK16" s="5" t="n">
        <v>14.9</v>
      </c>
      <c r="AL16" s="5" t="n">
        <v>11.9</v>
      </c>
      <c r="AM16" s="5" t="n">
        <v>10.3</v>
      </c>
    </row>
    <row r="17">
      <c r="B17" s="140" t="n"/>
      <c r="D17" s="141" t="n"/>
      <c r="G17" s="86" t="inlineStr">
        <is>
          <t>O</t>
        </is>
      </c>
      <c r="H17" s="5" t="inlineStr">
        <is>
          <t>Seminyak</t>
        </is>
      </c>
      <c r="I17" s="8" t="inlineStr">
        <is>
          <t>indomaret, Jl. Dewi Saraswati II No.101, Seminyak, Kec. Kuta, Kabupaten Badung, Bali 80361</t>
        </is>
      </c>
      <c r="J17" s="10" t="n">
        <v>25.5</v>
      </c>
      <c r="K17" s="10" t="n">
        <v>47</v>
      </c>
      <c r="M17" s="6" t="inlineStr">
        <is>
          <t>M</t>
        </is>
      </c>
      <c r="N17" s="8" t="n">
        <v>30.9</v>
      </c>
      <c r="O17" s="5" t="n">
        <v>21</v>
      </c>
      <c r="P17" s="5" t="n">
        <v>14.3</v>
      </c>
      <c r="Q17" s="5" t="n">
        <v>14.2</v>
      </c>
      <c r="R17" s="5" t="n">
        <v>13.6</v>
      </c>
      <c r="S17" s="5" t="n">
        <v>13.6</v>
      </c>
      <c r="T17" s="5" t="n">
        <v>10.7</v>
      </c>
      <c r="U17" s="5" t="n">
        <v>12.3</v>
      </c>
      <c r="V17" s="5" t="n">
        <v>12.7</v>
      </c>
      <c r="W17" s="5" t="n">
        <v>9.5</v>
      </c>
      <c r="X17" s="5" t="n">
        <v>7.7</v>
      </c>
      <c r="Y17" s="5" t="n">
        <v>1.3</v>
      </c>
      <c r="Z17" s="5" t="n">
        <v>3.4</v>
      </c>
      <c r="AA17" s="7" t="n">
        <v>0</v>
      </c>
      <c r="AB17" s="5" t="n">
        <v>3.2</v>
      </c>
      <c r="AC17" s="5" t="n">
        <v>5.4</v>
      </c>
      <c r="AD17" s="5" t="n">
        <v>7.7</v>
      </c>
      <c r="AE17" s="5" t="n">
        <v>10.2</v>
      </c>
      <c r="AF17" s="5" t="n">
        <v>15.9</v>
      </c>
      <c r="AG17" s="5" t="n">
        <v>10</v>
      </c>
      <c r="AH17" s="5" t="n">
        <v>14.7</v>
      </c>
      <c r="AI17" s="5" t="n">
        <v>8.699999999999999</v>
      </c>
      <c r="AJ17" s="5" t="n">
        <v>13.6</v>
      </c>
      <c r="AK17" s="5" t="n">
        <v>14.1</v>
      </c>
      <c r="AL17" s="5" t="n">
        <v>11.1</v>
      </c>
      <c r="AM17" s="5" t="n">
        <v>8.9</v>
      </c>
    </row>
    <row r="18">
      <c r="B18" s="140" t="n"/>
      <c r="D18" s="141" t="n"/>
      <c r="G18" s="86" t="inlineStr">
        <is>
          <t>P</t>
        </is>
      </c>
      <c r="H18" s="5" t="inlineStr">
        <is>
          <t>Jimbaran</t>
        </is>
      </c>
      <c r="I18" s="8" t="inlineStr">
        <is>
          <t>Indomaret, Uluwatu St No.12, Jimbaran, South Kuta, Badung Regency, Bali 80361</t>
        </is>
      </c>
      <c r="J18" s="10" t="n">
        <v>38</v>
      </c>
      <c r="K18" s="10" t="n">
        <v>65</v>
      </c>
      <c r="M18" s="6" t="inlineStr">
        <is>
          <t>N</t>
        </is>
      </c>
      <c r="N18" s="8" t="n">
        <v>28.3</v>
      </c>
      <c r="O18" s="5" t="n">
        <v>23</v>
      </c>
      <c r="P18" s="5" t="n">
        <v>14.3</v>
      </c>
      <c r="Q18" s="5" t="n">
        <v>14.2</v>
      </c>
      <c r="R18" s="5" t="n">
        <v>13.6</v>
      </c>
      <c r="S18" s="5" t="n">
        <v>13.6</v>
      </c>
      <c r="T18" s="5" t="n">
        <v>10.7</v>
      </c>
      <c r="U18" s="5" t="n">
        <v>12.3</v>
      </c>
      <c r="V18" s="5" t="n">
        <v>12.7</v>
      </c>
      <c r="W18" s="5" t="n">
        <v>9.4</v>
      </c>
      <c r="X18" s="5" t="n">
        <v>8.1</v>
      </c>
      <c r="Y18" s="5" t="n">
        <v>1.5</v>
      </c>
      <c r="Z18" s="5" t="n">
        <v>1.7</v>
      </c>
      <c r="AA18" s="5" t="n">
        <v>3.2</v>
      </c>
      <c r="AB18" s="7" t="n">
        <v>0</v>
      </c>
      <c r="AC18" s="5" t="n">
        <v>2.9</v>
      </c>
      <c r="AD18" s="5" t="n">
        <v>9.699999999999999</v>
      </c>
      <c r="AE18" s="5" t="n">
        <v>12.4</v>
      </c>
      <c r="AF18" s="5" t="n">
        <v>17.6</v>
      </c>
      <c r="AG18" s="5" t="n">
        <v>12.1</v>
      </c>
      <c r="AH18" s="5" t="n">
        <v>16.8</v>
      </c>
      <c r="AI18" s="5" t="n">
        <v>6.8</v>
      </c>
      <c r="AJ18" s="5" t="n">
        <v>10</v>
      </c>
      <c r="AK18" s="5" t="n">
        <v>13.6</v>
      </c>
      <c r="AL18" s="5" t="n">
        <v>10.7</v>
      </c>
      <c r="AM18" s="5" t="n">
        <v>9.1</v>
      </c>
    </row>
    <row r="19">
      <c r="B19" s="140" t="n"/>
      <c r="D19" s="141" t="n"/>
      <c r="G19" s="86" t="inlineStr">
        <is>
          <t>Q</t>
        </is>
      </c>
      <c r="H19" s="5" t="inlineStr">
        <is>
          <t>Nusa Dua</t>
        </is>
      </c>
      <c r="I19" s="8" t="inlineStr">
        <is>
          <t>Indomaret Bypass Nusa Dua 4, Jl. Bypass Ngurah Rai No.184, Benoa, South Kuta, Badung Regency, Bali 80361</t>
        </is>
      </c>
      <c r="J19" s="10" t="n">
        <v>40.4</v>
      </c>
      <c r="K19" s="10" t="n">
        <v>65</v>
      </c>
      <c r="M19" s="6" t="inlineStr">
        <is>
          <t>O</t>
        </is>
      </c>
      <c r="N19" s="8" t="n">
        <v>25.5</v>
      </c>
      <c r="O19" s="5" t="n">
        <v>18.2</v>
      </c>
      <c r="P19" s="5" t="n">
        <v>11.7</v>
      </c>
      <c r="Q19" s="5" t="n">
        <v>11.8</v>
      </c>
      <c r="R19" s="5" t="n">
        <v>11</v>
      </c>
      <c r="S19" s="5" t="n">
        <v>11</v>
      </c>
      <c r="T19" s="5" t="n">
        <v>8.300000000000001</v>
      </c>
      <c r="U19" s="5" t="n">
        <v>10</v>
      </c>
      <c r="V19" s="5" t="n">
        <v>10.3</v>
      </c>
      <c r="W19" s="5" t="n">
        <v>6.8</v>
      </c>
      <c r="X19" s="5" t="n">
        <v>5.4</v>
      </c>
      <c r="Y19" s="5" t="n">
        <v>2.3</v>
      </c>
      <c r="Z19" s="5" t="n">
        <v>2</v>
      </c>
      <c r="AA19" s="5" t="n">
        <v>5.4</v>
      </c>
      <c r="AB19" s="5" t="n">
        <v>2.9</v>
      </c>
      <c r="AC19" s="7" t="n">
        <v>0</v>
      </c>
      <c r="AD19" s="5" t="n">
        <v>9.699999999999999</v>
      </c>
      <c r="AE19" s="5" t="n">
        <v>12.4</v>
      </c>
      <c r="AF19" s="5" t="n">
        <v>17.6</v>
      </c>
      <c r="AG19" s="5" t="n">
        <v>12.1</v>
      </c>
      <c r="AH19" s="5" t="n">
        <v>16.8</v>
      </c>
      <c r="AI19" s="5" t="n">
        <v>6.8</v>
      </c>
      <c r="AJ19" s="5" t="n">
        <v>11.1</v>
      </c>
      <c r="AK19" s="5" t="n">
        <v>13.6</v>
      </c>
      <c r="AL19" s="5" t="n">
        <v>10.7</v>
      </c>
      <c r="AM19" s="5" t="n">
        <v>9.1</v>
      </c>
    </row>
    <row r="20">
      <c r="B20" s="140" t="n"/>
      <c r="D20" s="141" t="n"/>
      <c r="G20" s="86" t="inlineStr">
        <is>
          <t>R</t>
        </is>
      </c>
      <c r="H20" s="5" t="inlineStr">
        <is>
          <t>Benoa</t>
        </is>
      </c>
      <c r="I20" s="8" t="inlineStr">
        <is>
          <t>Indomaret Tanjung Benoa, Jl. Pratama No.99, Benoa, Kec. Kuta Sel., Kabupaten Badung, Bali 80361</t>
        </is>
      </c>
      <c r="J20" s="10" t="n">
        <v>46.3</v>
      </c>
      <c r="K20" s="10" t="n">
        <v>75</v>
      </c>
      <c r="M20" s="6" t="inlineStr">
        <is>
          <t>P</t>
        </is>
      </c>
      <c r="N20" s="8" t="n">
        <v>38</v>
      </c>
      <c r="O20" s="5" t="n">
        <v>30.7</v>
      </c>
      <c r="P20" s="5" t="n">
        <v>24.1</v>
      </c>
      <c r="Q20" s="5" t="n">
        <v>23.9</v>
      </c>
      <c r="R20" s="5" t="n">
        <v>23.4</v>
      </c>
      <c r="S20" s="5" t="n">
        <v>23.4</v>
      </c>
      <c r="T20" s="5" t="n">
        <v>20.4</v>
      </c>
      <c r="U20" s="5" t="n">
        <v>22.1</v>
      </c>
      <c r="V20" s="5" t="n">
        <v>22.4</v>
      </c>
      <c r="W20" s="5" t="n">
        <v>19.2</v>
      </c>
      <c r="X20" s="5" t="n">
        <v>17.4</v>
      </c>
      <c r="Y20" s="5" t="n">
        <v>11</v>
      </c>
      <c r="Z20" s="5" t="n">
        <v>11</v>
      </c>
      <c r="AA20" s="5" t="n">
        <v>7.7</v>
      </c>
      <c r="AB20" s="5" t="n">
        <v>9.699999999999999</v>
      </c>
      <c r="AC20" s="5" t="n">
        <v>9.699999999999999</v>
      </c>
      <c r="AD20" s="7" t="n">
        <v>0</v>
      </c>
      <c r="AE20" s="5" t="n">
        <v>6</v>
      </c>
      <c r="AF20" s="5" t="n">
        <v>11.2</v>
      </c>
      <c r="AG20" s="5" t="n">
        <v>2</v>
      </c>
      <c r="AH20" s="5" t="n">
        <v>6.7</v>
      </c>
      <c r="AI20" s="5" t="n">
        <v>14.5</v>
      </c>
      <c r="AJ20" s="5" t="n">
        <v>20.3</v>
      </c>
      <c r="AK20" s="5" t="n">
        <v>19.2</v>
      </c>
      <c r="AL20" s="5" t="n">
        <v>16.2</v>
      </c>
      <c r="AM20" s="5" t="n">
        <v>14.6</v>
      </c>
    </row>
    <row r="21">
      <c r="B21" s="140" t="n"/>
      <c r="D21" s="141" t="n"/>
      <c r="G21" s="86" t="inlineStr">
        <is>
          <t>S</t>
        </is>
      </c>
      <c r="H21" s="5" t="inlineStr">
        <is>
          <t>Ungasan</t>
        </is>
      </c>
      <c r="I21" s="8" t="inlineStr">
        <is>
          <t>Indomaret Uluwatu Ungasan, 6526+362, Jl. Raya Uluwatu, Jimbaran, Kec. Kuta Sel., Kabupaten Badung, Bali 80361</t>
        </is>
      </c>
      <c r="J21" s="10" t="n">
        <v>40.4</v>
      </c>
      <c r="K21" s="10" t="n">
        <v>68</v>
      </c>
      <c r="M21" s="6" t="inlineStr">
        <is>
          <t>Q</t>
        </is>
      </c>
      <c r="N21" s="8" t="n">
        <v>40.4</v>
      </c>
      <c r="O21" s="5" t="n">
        <v>33</v>
      </c>
      <c r="P21" s="5" t="n">
        <v>26.4</v>
      </c>
      <c r="Q21" s="5" t="n">
        <v>26.2</v>
      </c>
      <c r="R21" s="5" t="n">
        <v>25.7</v>
      </c>
      <c r="S21" s="5" t="n">
        <v>25.7</v>
      </c>
      <c r="T21" s="5" t="n">
        <v>22.7</v>
      </c>
      <c r="U21" s="5" t="n">
        <v>24.4</v>
      </c>
      <c r="V21" s="5" t="n">
        <v>24.7</v>
      </c>
      <c r="W21" s="5" t="n">
        <v>21.5</v>
      </c>
      <c r="X21" s="5" t="n">
        <v>20.1</v>
      </c>
      <c r="Y21" s="5" t="n">
        <v>13.7</v>
      </c>
      <c r="Z21" s="5" t="n">
        <v>14</v>
      </c>
      <c r="AA21" s="5" t="n">
        <v>10.2</v>
      </c>
      <c r="AB21" s="5" t="n">
        <v>12.4</v>
      </c>
      <c r="AC21" s="5" t="n">
        <v>12.4</v>
      </c>
      <c r="AD21" s="5" t="n">
        <v>6</v>
      </c>
      <c r="AE21" s="7" t="n">
        <v>0</v>
      </c>
      <c r="AF21" s="5" t="n">
        <v>5.2</v>
      </c>
      <c r="AG21" s="5" t="n">
        <v>8.1</v>
      </c>
      <c r="AH21" s="5" t="n">
        <v>12.3</v>
      </c>
      <c r="AI21" s="5" t="n">
        <v>16.5</v>
      </c>
      <c r="AJ21" s="5" t="n">
        <v>24.5</v>
      </c>
      <c r="AK21" s="5" t="n">
        <v>23</v>
      </c>
      <c r="AL21" s="5" t="n">
        <v>14</v>
      </c>
      <c r="AM21" s="5" t="n">
        <v>13.7</v>
      </c>
    </row>
    <row r="22">
      <c r="B22" s="140" t="n"/>
      <c r="D22" s="141" t="n"/>
      <c r="G22" s="86" t="inlineStr">
        <is>
          <t>T</t>
        </is>
      </c>
      <c r="H22" s="5" t="inlineStr">
        <is>
          <t>Pecatu</t>
        </is>
      </c>
      <c r="I22" s="8" t="inlineStr">
        <is>
          <t>Indomaret Pecatu, Jl. Raya Uluwatu Pecatu No.98, Pecatu, South Kuta, Badung Regency, Bali 80361</t>
        </is>
      </c>
      <c r="J22" s="10" t="n">
        <v>45.1</v>
      </c>
      <c r="K22" s="10" t="n">
        <v>79</v>
      </c>
      <c r="M22" s="6" t="inlineStr">
        <is>
          <t>R</t>
        </is>
      </c>
      <c r="N22" s="8" t="n">
        <v>46.3</v>
      </c>
      <c r="O22" s="5" t="n">
        <v>38.3</v>
      </c>
      <c r="P22" s="5" t="n">
        <v>31.6</v>
      </c>
      <c r="Q22" s="5" t="n">
        <v>31.5</v>
      </c>
      <c r="R22" s="5" t="n">
        <v>30.9</v>
      </c>
      <c r="S22" s="5" t="n">
        <v>30.9</v>
      </c>
      <c r="T22" s="5" t="n">
        <v>27.9</v>
      </c>
      <c r="U22" s="5" t="n">
        <v>29.6</v>
      </c>
      <c r="V22" s="5" t="n">
        <v>30</v>
      </c>
      <c r="W22" s="5" t="n">
        <v>26.8</v>
      </c>
      <c r="X22" s="5" t="n">
        <v>25.3</v>
      </c>
      <c r="Y22" s="5" t="n">
        <v>19.3</v>
      </c>
      <c r="Z22" s="5" t="n">
        <v>18.9</v>
      </c>
      <c r="AA22" s="5" t="n">
        <v>15.9</v>
      </c>
      <c r="AB22" s="5" t="n">
        <v>17.6</v>
      </c>
      <c r="AC22" s="5" t="n">
        <v>17.6</v>
      </c>
      <c r="AD22" s="5" t="n">
        <v>11.2</v>
      </c>
      <c r="AE22" s="5" t="n">
        <v>5.2</v>
      </c>
      <c r="AF22" s="7" t="n">
        <v>0</v>
      </c>
      <c r="AG22" s="5" t="n">
        <v>17.2</v>
      </c>
      <c r="AH22" s="5" t="n">
        <v>12.7</v>
      </c>
      <c r="AI22" s="5" t="n">
        <v>21.3</v>
      </c>
      <c r="AJ22" s="5" t="n">
        <v>28.2</v>
      </c>
      <c r="AK22" s="5" t="n">
        <v>24</v>
      </c>
      <c r="AL22" s="5" t="n">
        <v>21</v>
      </c>
      <c r="AM22" s="5" t="n">
        <v>19.4</v>
      </c>
    </row>
    <row r="23">
      <c r="B23" s="140" t="n"/>
      <c r="D23" s="141" t="n"/>
      <c r="G23" s="86" t="inlineStr">
        <is>
          <t>U</t>
        </is>
      </c>
      <c r="H23" s="5" t="inlineStr">
        <is>
          <t>Teuku Umar</t>
        </is>
      </c>
      <c r="I23" s="8" t="inlineStr">
        <is>
          <t>Indomaret Point Teuku Umar, Jl. Teuku Umar No.85 X, Pedungan, Denpasar Barat, Denpasar City, Bali 80222</t>
        </is>
      </c>
      <c r="J23" s="10" t="n">
        <v>25.1</v>
      </c>
      <c r="K23" s="10" t="n">
        <v>44</v>
      </c>
      <c r="M23" s="6" t="inlineStr">
        <is>
          <t>S</t>
        </is>
      </c>
      <c r="N23" s="8" t="n">
        <v>40.4</v>
      </c>
      <c r="O23" s="5" t="n">
        <v>33.1</v>
      </c>
      <c r="P23" s="5" t="n">
        <v>26.4</v>
      </c>
      <c r="Q23" s="5" t="n">
        <v>26.2</v>
      </c>
      <c r="R23" s="5" t="n">
        <v>26.9</v>
      </c>
      <c r="S23" s="5" t="n">
        <v>25.7</v>
      </c>
      <c r="T23" s="5" t="n">
        <v>22.7</v>
      </c>
      <c r="U23" s="5" t="n">
        <v>24.4</v>
      </c>
      <c r="V23" s="5" t="n">
        <v>24.8</v>
      </c>
      <c r="W23" s="5" t="n">
        <v>21.2</v>
      </c>
      <c r="X23" s="5" t="n">
        <v>19.8</v>
      </c>
      <c r="Y23" s="5" t="n">
        <v>13.4</v>
      </c>
      <c r="Z23" s="5" t="n">
        <v>13.3</v>
      </c>
      <c r="AA23" s="5" t="n">
        <v>10</v>
      </c>
      <c r="AB23" s="5" t="n">
        <v>12.1</v>
      </c>
      <c r="AC23" s="5" t="n">
        <v>12.1</v>
      </c>
      <c r="AD23" s="5" t="n">
        <v>2</v>
      </c>
      <c r="AE23" s="5" t="n">
        <v>8.1</v>
      </c>
      <c r="AF23" s="5" t="n">
        <v>17.2</v>
      </c>
      <c r="AG23" s="7" t="n">
        <v>0</v>
      </c>
      <c r="AH23" s="5" t="n">
        <v>9.5</v>
      </c>
      <c r="AI23" s="5" t="n">
        <v>16.5</v>
      </c>
      <c r="AJ23" s="5" t="n">
        <v>22.3</v>
      </c>
      <c r="AK23" s="5" t="n">
        <v>21.1</v>
      </c>
      <c r="AL23" s="5" t="n">
        <v>18.2</v>
      </c>
      <c r="AM23" s="5" t="n">
        <v>16.6</v>
      </c>
    </row>
    <row r="24">
      <c r="B24" s="140" t="n"/>
      <c r="D24" s="141" t="n"/>
      <c r="G24" s="86" t="inlineStr">
        <is>
          <t>V</t>
        </is>
      </c>
      <c r="H24" s="5" t="inlineStr">
        <is>
          <t>Gatsu</t>
        </is>
      </c>
      <c r="I24" s="8" t="inlineStr">
        <is>
          <t>Indomaret Gatsu Barat, Jl. Gatot Subroto Barat No.168, Padangsambian Kaja, Kec. Denpasar Bar., Kota Denpasar, Bali 80117</t>
        </is>
      </c>
      <c r="J24" s="10" t="n">
        <v>19.3</v>
      </c>
      <c r="K24" s="10" t="n">
        <v>34</v>
      </c>
      <c r="M24" s="6" t="inlineStr">
        <is>
          <t>T</t>
        </is>
      </c>
      <c r="N24" s="8" t="n">
        <v>45.1</v>
      </c>
      <c r="O24" s="5" t="n">
        <v>37.8</v>
      </c>
      <c r="P24" s="5" t="n">
        <v>31.1</v>
      </c>
      <c r="Q24" s="5" t="n">
        <v>30.9</v>
      </c>
      <c r="R24" s="5" t="n">
        <v>30.4</v>
      </c>
      <c r="S24" s="5" t="n">
        <v>30.4</v>
      </c>
      <c r="T24" s="5" t="n">
        <v>27.4</v>
      </c>
      <c r="U24" s="5" t="n">
        <v>29.1</v>
      </c>
      <c r="V24" s="5" t="n">
        <v>29.5</v>
      </c>
      <c r="W24" s="5" t="n">
        <v>26.2</v>
      </c>
      <c r="X24" s="5" t="n">
        <v>24.5</v>
      </c>
      <c r="Y24" s="5" t="n">
        <v>18.1</v>
      </c>
      <c r="Z24" s="5" t="n">
        <v>18</v>
      </c>
      <c r="AA24" s="5" t="n">
        <v>14.7</v>
      </c>
      <c r="AB24" s="5" t="n">
        <v>16.8</v>
      </c>
      <c r="AC24" s="5" t="n">
        <v>16.8</v>
      </c>
      <c r="AD24" s="5" t="n">
        <v>6.7</v>
      </c>
      <c r="AE24" s="5" t="n">
        <v>12.3</v>
      </c>
      <c r="AF24" s="5" t="n">
        <v>12.7</v>
      </c>
      <c r="AG24" s="5" t="n">
        <v>9.5</v>
      </c>
      <c r="AH24" s="7" t="n">
        <v>0</v>
      </c>
      <c r="AI24" s="5" t="n">
        <v>28.2</v>
      </c>
      <c r="AJ24" s="5" t="n">
        <v>27.9</v>
      </c>
      <c r="AK24" s="5" t="n">
        <v>28</v>
      </c>
      <c r="AL24" s="5" t="n">
        <v>11</v>
      </c>
      <c r="AM24" s="5" t="n">
        <v>26.4</v>
      </c>
    </row>
    <row r="25">
      <c r="B25" s="140" t="n"/>
      <c r="D25" s="141" t="n"/>
      <c r="G25" s="86" t="inlineStr">
        <is>
          <t>W</t>
        </is>
      </c>
      <c r="H25" s="5" t="inlineStr">
        <is>
          <t>Sanur</t>
        </is>
      </c>
      <c r="I25" s="8" t="inlineStr">
        <is>
          <t>Indomaret By Pass Sanur 192, Jl. Bypass Ngurah Rai No.192, Sanur Kaja, Denpasar Selatan, Kota Denpasar, Bali 80227</t>
        </is>
      </c>
      <c r="J25" s="10" t="n">
        <v>29</v>
      </c>
      <c r="K25" s="10" t="n">
        <v>49</v>
      </c>
      <c r="M25" s="6" t="inlineStr">
        <is>
          <t>U</t>
        </is>
      </c>
      <c r="N25" s="8" t="n">
        <v>25.1</v>
      </c>
      <c r="O25" s="5" t="n">
        <v>17.8</v>
      </c>
      <c r="P25" s="5" t="n">
        <v>11.7</v>
      </c>
      <c r="Q25" s="5" t="n">
        <v>10.3</v>
      </c>
      <c r="R25" s="5" t="n">
        <v>11</v>
      </c>
      <c r="S25" s="5" t="n">
        <v>11</v>
      </c>
      <c r="T25" s="5" t="n">
        <v>10.2</v>
      </c>
      <c r="U25" s="5" t="n">
        <v>12</v>
      </c>
      <c r="V25" s="5" t="n">
        <v>12.4</v>
      </c>
      <c r="W25" s="5" t="n">
        <v>8.300000000000001</v>
      </c>
      <c r="X25" s="5" t="n">
        <v>7.6</v>
      </c>
      <c r="Y25" s="5" t="n">
        <v>9.800000000000001</v>
      </c>
      <c r="Z25" s="5" t="n">
        <v>5.6</v>
      </c>
      <c r="AA25" s="5" t="n">
        <v>8.699999999999999</v>
      </c>
      <c r="AB25" s="5" t="n">
        <v>6.8</v>
      </c>
      <c r="AC25" s="5" t="n">
        <v>6.8</v>
      </c>
      <c r="AD25" s="5" t="n">
        <v>14.5</v>
      </c>
      <c r="AE25" s="5" t="n">
        <v>16.5</v>
      </c>
      <c r="AF25" s="5" t="n">
        <v>21.3</v>
      </c>
      <c r="AG25" s="5" t="n">
        <v>16.5</v>
      </c>
      <c r="AH25" s="5" t="n">
        <v>28.2</v>
      </c>
      <c r="AI25" s="7" t="n">
        <v>0</v>
      </c>
      <c r="AJ25" s="5" t="n">
        <v>8</v>
      </c>
      <c r="AK25" s="5" t="n">
        <v>8.5</v>
      </c>
      <c r="AL25" s="5" t="n">
        <v>7.5</v>
      </c>
      <c r="AM25" s="5" t="n">
        <v>3.5</v>
      </c>
    </row>
    <row r="26">
      <c r="B26" s="140" t="n"/>
      <c r="D26" s="141" t="n"/>
      <c r="G26" s="86" t="inlineStr">
        <is>
          <t>X</t>
        </is>
      </c>
      <c r="H26" s="5" t="inlineStr">
        <is>
          <t>Renon</t>
        </is>
      </c>
      <c r="I26" s="8" t="inlineStr">
        <is>
          <t>Indomaret Renon, Jl. Tukad Balian No.100, Renon, Denpasar Selatan, Denpasar City, Bali 80226</t>
        </is>
      </c>
      <c r="J26" s="10" t="n">
        <v>27.9</v>
      </c>
      <c r="K26" s="10" t="n">
        <v>52</v>
      </c>
      <c r="M26" s="6" t="inlineStr">
        <is>
          <t>V</t>
        </is>
      </c>
      <c r="N26" s="8" t="n">
        <v>19.3</v>
      </c>
      <c r="O26" s="5" t="n">
        <v>12</v>
      </c>
      <c r="P26" s="5" t="n">
        <v>5.6</v>
      </c>
      <c r="Q26" s="5" t="n">
        <v>5.1</v>
      </c>
      <c r="R26" s="5" t="n">
        <v>4.9</v>
      </c>
      <c r="S26" s="5" t="n">
        <v>4.9</v>
      </c>
      <c r="T26" s="5" t="n">
        <v>4.9</v>
      </c>
      <c r="U26" s="5" t="n">
        <v>6.6</v>
      </c>
      <c r="V26" s="5" t="n">
        <v>6.9</v>
      </c>
      <c r="W26" s="5" t="n">
        <v>1.1</v>
      </c>
      <c r="X26" s="5" t="n">
        <v>5.1</v>
      </c>
      <c r="Y26" s="5" t="n">
        <v>14.9</v>
      </c>
      <c r="Z26" s="5" t="n">
        <v>9.4</v>
      </c>
      <c r="AA26" s="5" t="n">
        <v>13.6</v>
      </c>
      <c r="AB26" s="5" t="n">
        <v>10</v>
      </c>
      <c r="AC26" s="5" t="n">
        <v>11.1</v>
      </c>
      <c r="AD26" s="5" t="n">
        <v>20.3</v>
      </c>
      <c r="AE26" s="5" t="n">
        <v>24.5</v>
      </c>
      <c r="AF26" s="5" t="n">
        <v>28.2</v>
      </c>
      <c r="AG26" s="5" t="n">
        <v>22.3</v>
      </c>
      <c r="AH26" s="5" t="n">
        <v>27.9</v>
      </c>
      <c r="AI26" s="5" t="n">
        <v>8</v>
      </c>
      <c r="AJ26" s="7" t="n">
        <v>0</v>
      </c>
      <c r="AK26" s="5" t="n">
        <v>14.4</v>
      </c>
      <c r="AL26" s="5" t="n">
        <v>13.7</v>
      </c>
      <c r="AM26" s="5" t="n">
        <v>11.6</v>
      </c>
    </row>
    <row r="27">
      <c r="B27" s="142" t="n"/>
      <c r="C27" s="143" t="n"/>
      <c r="D27" s="144" t="n"/>
      <c r="G27" s="86" t="inlineStr">
        <is>
          <t>Y</t>
        </is>
      </c>
      <c r="H27" s="5" t="inlineStr">
        <is>
          <t>Sesetan</t>
        </is>
      </c>
      <c r="I27" s="8" t="inlineStr">
        <is>
          <t>Indomaret Sesetan 2, Jl. Raya Sesetan No.182, Sesetan, Denpasar Selatan, Denpasar City, Bali 80225</t>
        </is>
      </c>
      <c r="J27" s="10" t="n">
        <v>26.9</v>
      </c>
      <c r="K27" s="10" t="n">
        <v>49</v>
      </c>
      <c r="M27" s="6" t="inlineStr">
        <is>
          <t>W</t>
        </is>
      </c>
      <c r="N27" s="8" t="n">
        <v>29</v>
      </c>
      <c r="O27" s="5" t="n">
        <v>21.6</v>
      </c>
      <c r="P27" s="5" t="n">
        <v>18.9</v>
      </c>
      <c r="Q27" s="5" t="n">
        <v>16</v>
      </c>
      <c r="R27" s="5" t="n">
        <v>18.2</v>
      </c>
      <c r="S27" s="5" t="n">
        <v>16</v>
      </c>
      <c r="T27" s="5" t="n">
        <v>15.2</v>
      </c>
      <c r="U27" s="5" t="n">
        <v>16.9</v>
      </c>
      <c r="V27" s="5" t="n">
        <v>17.3</v>
      </c>
      <c r="W27" s="5" t="n">
        <v>13</v>
      </c>
      <c r="X27" s="5" t="n">
        <v>15.7</v>
      </c>
      <c r="Y27" s="5" t="n">
        <v>18.9</v>
      </c>
      <c r="Z27" s="5" t="n">
        <v>14.9</v>
      </c>
      <c r="AA27" s="5" t="n">
        <v>14.1</v>
      </c>
      <c r="AB27" s="5" t="n">
        <v>13.6</v>
      </c>
      <c r="AC27" s="5" t="n">
        <v>13.6</v>
      </c>
      <c r="AD27" s="5" t="n">
        <v>19.2</v>
      </c>
      <c r="AE27" s="5" t="n">
        <v>23</v>
      </c>
      <c r="AF27" s="5" t="n">
        <v>24</v>
      </c>
      <c r="AG27" s="5" t="n">
        <v>21.1</v>
      </c>
      <c r="AH27" s="5" t="n">
        <v>28</v>
      </c>
      <c r="AI27" s="5" t="n">
        <v>8.5</v>
      </c>
      <c r="AJ27" s="5" t="n">
        <v>14.4</v>
      </c>
      <c r="AK27" s="7" t="n">
        <v>0</v>
      </c>
      <c r="AL27" s="5" t="n">
        <v>3.3</v>
      </c>
      <c r="AM27" s="5" t="n">
        <v>8</v>
      </c>
    </row>
    <row r="28">
      <c r="M28" s="6" t="inlineStr">
        <is>
          <t>X</t>
        </is>
      </c>
      <c r="N28" s="8" t="n">
        <v>27.9</v>
      </c>
      <c r="O28" s="5" t="n">
        <v>20.9</v>
      </c>
      <c r="P28" s="5" t="n">
        <v>16.6</v>
      </c>
      <c r="Q28" s="5" t="n">
        <v>14.4</v>
      </c>
      <c r="R28" s="5" t="n">
        <v>15.9</v>
      </c>
      <c r="S28" s="5" t="n">
        <v>15.9</v>
      </c>
      <c r="T28" s="5" t="n">
        <v>15.1</v>
      </c>
      <c r="U28" s="5" t="n">
        <v>16.9</v>
      </c>
      <c r="V28" s="5" t="n">
        <v>17.2</v>
      </c>
      <c r="W28" s="5" t="n">
        <v>12.9</v>
      </c>
      <c r="X28" s="5" t="n">
        <v>18.4</v>
      </c>
      <c r="Y28" s="5" t="n">
        <v>12</v>
      </c>
      <c r="Z28" s="5" t="n">
        <v>11.9</v>
      </c>
      <c r="AA28" s="5" t="n">
        <v>11.1</v>
      </c>
      <c r="AB28" s="5" t="n">
        <v>10.7</v>
      </c>
      <c r="AC28" s="5" t="n">
        <v>10.7</v>
      </c>
      <c r="AD28" s="5" t="n">
        <v>16.2</v>
      </c>
      <c r="AE28" s="5" t="n">
        <v>14</v>
      </c>
      <c r="AF28" s="5" t="n">
        <v>21</v>
      </c>
      <c r="AG28" s="5" t="n">
        <v>18.2</v>
      </c>
      <c r="AH28" s="5" t="n">
        <v>11</v>
      </c>
      <c r="AI28" s="5" t="n">
        <v>7.5</v>
      </c>
      <c r="AJ28" s="5" t="n">
        <v>13.7</v>
      </c>
      <c r="AK28" s="5" t="n">
        <v>3.3</v>
      </c>
      <c r="AL28" s="7" t="n">
        <v>0</v>
      </c>
      <c r="AM28" s="5" t="n">
        <v>5.5</v>
      </c>
    </row>
    <row r="29">
      <c r="M29" s="6" t="inlineStr">
        <is>
          <t>Y</t>
        </is>
      </c>
      <c r="N29" s="8" t="n">
        <v>26.9</v>
      </c>
      <c r="O29" s="5" t="n">
        <v>19.6</v>
      </c>
      <c r="P29" s="5" t="n">
        <v>15.7</v>
      </c>
      <c r="Q29" s="5" t="n">
        <v>12.8</v>
      </c>
      <c r="R29" s="5" t="n">
        <v>14.3</v>
      </c>
      <c r="S29" s="5" t="n">
        <v>15</v>
      </c>
      <c r="T29" s="5" t="n">
        <v>12.8</v>
      </c>
      <c r="U29" s="5" t="n">
        <v>14.5</v>
      </c>
      <c r="V29" s="5" t="n">
        <v>14.8</v>
      </c>
      <c r="W29" s="5" t="n">
        <v>10.8</v>
      </c>
      <c r="X29" s="5" t="n">
        <v>10.2</v>
      </c>
      <c r="Y29" s="5" t="n">
        <v>9.699999999999999</v>
      </c>
      <c r="Z29" s="5" t="n">
        <v>10.3</v>
      </c>
      <c r="AA29" s="5" t="n">
        <v>8.9</v>
      </c>
      <c r="AB29" s="5" t="n">
        <v>9.1</v>
      </c>
      <c r="AC29" s="5" t="n">
        <v>9.1</v>
      </c>
      <c r="AD29" s="5" t="n">
        <v>14.6</v>
      </c>
      <c r="AE29" s="5" t="n">
        <v>13.7</v>
      </c>
      <c r="AF29" s="5" t="n">
        <v>19.4</v>
      </c>
      <c r="AG29" s="5" t="n">
        <v>16.6</v>
      </c>
      <c r="AH29" s="5" t="n">
        <v>26.4</v>
      </c>
      <c r="AI29" s="5" t="n">
        <v>3.5</v>
      </c>
      <c r="AJ29" s="5" t="n">
        <v>11.6</v>
      </c>
      <c r="AK29" s="5" t="n">
        <v>8</v>
      </c>
      <c r="AL29" s="5" t="n">
        <v>5.5</v>
      </c>
      <c r="AM29" s="7" t="n">
        <v>0</v>
      </c>
    </row>
    <row r="32" ht="17.5" customHeight="1">
      <c r="B32" s="91" t="inlineStr">
        <is>
          <t>WAKTU ESTIMASI BONGKAR MUAT</t>
        </is>
      </c>
      <c r="C32" s="136" t="n"/>
      <c r="D32" s="137" t="n"/>
      <c r="G32" s="92" t="inlineStr">
        <is>
          <t>KLASIFIKASI TOKO</t>
        </is>
      </c>
      <c r="H32" s="136" t="n"/>
      <c r="I32" s="136" t="n"/>
      <c r="J32" s="137" t="n"/>
      <c r="M32" s="122" t="inlineStr">
        <is>
          <t>TABEL OD MATRIX WAKTU (MENIT)</t>
        </is>
      </c>
      <c r="N32" s="136" t="n"/>
      <c r="O32" s="136" t="n"/>
      <c r="P32" s="136" t="n"/>
      <c r="Q32" s="136" t="n"/>
      <c r="R32" s="136" t="n"/>
      <c r="S32" s="136" t="n"/>
      <c r="T32" s="136" t="n"/>
      <c r="U32" s="136" t="n"/>
      <c r="V32" s="136" t="n"/>
      <c r="W32" s="136" t="n"/>
      <c r="X32" s="136" t="n"/>
      <c r="Y32" s="136" t="n"/>
      <c r="Z32" s="136" t="n"/>
      <c r="AA32" s="136" t="n"/>
      <c r="AB32" s="136" t="n"/>
      <c r="AC32" s="136" t="n"/>
      <c r="AD32" s="136" t="n"/>
      <c r="AE32" s="136" t="n"/>
      <c r="AF32" s="136" t="n"/>
      <c r="AG32" s="136" t="n"/>
      <c r="AH32" s="136" t="n"/>
      <c r="AI32" s="136" t="n"/>
      <c r="AJ32" s="136" t="n"/>
      <c r="AK32" s="136" t="n"/>
      <c r="AL32" s="136" t="n"/>
      <c r="AM32" s="137" t="n"/>
    </row>
    <row r="33" ht="17.5" customHeight="1">
      <c r="B33" s="11" t="inlineStr">
        <is>
          <t>S</t>
        </is>
      </c>
      <c r="C33" s="11" t="inlineStr">
        <is>
          <t>KECIL</t>
        </is>
      </c>
      <c r="D33" s="11" t="n">
        <v>20</v>
      </c>
      <c r="G33" s="4" t="inlineStr">
        <is>
          <t>Kode</t>
        </is>
      </c>
      <c r="H33" s="4" t="inlineStr">
        <is>
          <t>Wilayah</t>
        </is>
      </c>
      <c r="I33" s="4" t="inlineStr">
        <is>
          <t>Kategori</t>
        </is>
      </c>
      <c r="J33" s="4" t="inlineStr">
        <is>
          <t>Waktu (MENIT</t>
        </is>
      </c>
      <c r="M33" s="4" t="n"/>
      <c r="N33" s="4" t="inlineStr">
        <is>
          <t>GUDANG</t>
        </is>
      </c>
      <c r="O33" s="4" t="inlineStr">
        <is>
          <t>A</t>
        </is>
      </c>
      <c r="P33" s="4" t="inlineStr">
        <is>
          <t>B</t>
        </is>
      </c>
      <c r="Q33" s="4" t="inlineStr">
        <is>
          <t>C</t>
        </is>
      </c>
      <c r="R33" s="4" t="inlineStr">
        <is>
          <t>D</t>
        </is>
      </c>
      <c r="S33" s="4" t="inlineStr">
        <is>
          <t>E</t>
        </is>
      </c>
      <c r="T33" s="4" t="inlineStr">
        <is>
          <t>F</t>
        </is>
      </c>
      <c r="U33" s="4" t="inlineStr">
        <is>
          <t>G</t>
        </is>
      </c>
      <c r="V33" s="4" t="inlineStr">
        <is>
          <t>H</t>
        </is>
      </c>
      <c r="W33" s="4" t="inlineStr">
        <is>
          <t>I</t>
        </is>
      </c>
      <c r="X33" s="4" t="inlineStr">
        <is>
          <t>J</t>
        </is>
      </c>
      <c r="Y33" s="4" t="inlineStr">
        <is>
          <t>K</t>
        </is>
      </c>
      <c r="Z33" s="4" t="inlineStr">
        <is>
          <t>L</t>
        </is>
      </c>
      <c r="AA33" s="4" t="inlineStr">
        <is>
          <t>M</t>
        </is>
      </c>
      <c r="AB33" s="4" t="inlineStr">
        <is>
          <t>N</t>
        </is>
      </c>
      <c r="AC33" s="4" t="inlineStr">
        <is>
          <t>O</t>
        </is>
      </c>
      <c r="AD33" s="4" t="inlineStr">
        <is>
          <t>P</t>
        </is>
      </c>
      <c r="AE33" s="4" t="inlineStr">
        <is>
          <t>Q</t>
        </is>
      </c>
      <c r="AF33" s="4" t="inlineStr">
        <is>
          <t>R</t>
        </is>
      </c>
      <c r="AG33" s="4" t="inlineStr">
        <is>
          <t>S</t>
        </is>
      </c>
      <c r="AH33" s="4" t="inlineStr">
        <is>
          <t>T</t>
        </is>
      </c>
      <c r="AI33" s="4" t="inlineStr">
        <is>
          <t>U</t>
        </is>
      </c>
      <c r="AJ33" s="4" t="inlineStr">
        <is>
          <t>V</t>
        </is>
      </c>
      <c r="AK33" s="4" t="inlineStr">
        <is>
          <t>W</t>
        </is>
      </c>
      <c r="AL33" s="4" t="inlineStr">
        <is>
          <t>X</t>
        </is>
      </c>
      <c r="AM33" s="4" t="inlineStr">
        <is>
          <t>Y</t>
        </is>
      </c>
    </row>
    <row r="34">
      <c r="B34" s="12" t="inlineStr">
        <is>
          <t>M</t>
        </is>
      </c>
      <c r="C34" s="12" t="inlineStr">
        <is>
          <t>SEDANG</t>
        </is>
      </c>
      <c r="D34" s="12" t="n">
        <v>30</v>
      </c>
      <c r="G34" s="16" t="inlineStr">
        <is>
          <t>A</t>
        </is>
      </c>
      <c r="H34" s="16" t="inlineStr">
        <is>
          <t>Mengwi</t>
        </is>
      </c>
      <c r="I34" s="17" t="inlineStr">
        <is>
          <t>M</t>
        </is>
      </c>
      <c r="J34" s="16" t="n">
        <v>30</v>
      </c>
      <c r="M34" s="6" t="inlineStr">
        <is>
          <t>GUDANG</t>
        </is>
      </c>
      <c r="N34" s="7" t="n">
        <v>0</v>
      </c>
      <c r="O34" s="8" t="n">
        <v>14</v>
      </c>
      <c r="P34" s="8" t="n">
        <v>25</v>
      </c>
      <c r="Q34" s="8" t="n">
        <v>23</v>
      </c>
      <c r="R34" s="8" t="n">
        <v>24</v>
      </c>
      <c r="S34" s="8" t="n">
        <v>34</v>
      </c>
      <c r="T34" s="8" t="n">
        <v>35</v>
      </c>
      <c r="U34" s="8" t="n">
        <v>36</v>
      </c>
      <c r="V34" s="8" t="n">
        <v>31</v>
      </c>
      <c r="W34" s="8" t="n">
        <v>36</v>
      </c>
      <c r="X34" s="8" t="n">
        <v>42</v>
      </c>
      <c r="Y34" s="8" t="n">
        <v>51</v>
      </c>
      <c r="Z34" s="8" t="n">
        <v>53</v>
      </c>
      <c r="AA34" s="8" t="n">
        <v>58</v>
      </c>
      <c r="AB34" s="8" t="n">
        <v>50</v>
      </c>
      <c r="AC34" s="8" t="n">
        <v>47</v>
      </c>
      <c r="AD34" s="8" t="n">
        <v>65</v>
      </c>
      <c r="AE34" s="8" t="n">
        <v>65</v>
      </c>
      <c r="AF34" s="8" t="n">
        <v>75</v>
      </c>
      <c r="AG34" s="8" t="n">
        <v>68</v>
      </c>
      <c r="AH34" s="8" t="n">
        <v>79</v>
      </c>
      <c r="AI34" s="8" t="n">
        <v>44</v>
      </c>
      <c r="AJ34" s="8" t="n">
        <v>34</v>
      </c>
      <c r="AK34" s="8" t="n">
        <v>49</v>
      </c>
      <c r="AL34" s="8" t="n">
        <v>52</v>
      </c>
      <c r="AM34" s="8" t="n">
        <v>49</v>
      </c>
    </row>
    <row r="35">
      <c r="B35" s="13" t="inlineStr">
        <is>
          <t>L</t>
        </is>
      </c>
      <c r="C35" s="13" t="inlineStr">
        <is>
          <t>BESAR</t>
        </is>
      </c>
      <c r="D35" s="13" t="n">
        <v>40</v>
      </c>
      <c r="G35" s="14" t="inlineStr">
        <is>
          <t>B</t>
        </is>
      </c>
      <c r="H35" s="14" t="inlineStr">
        <is>
          <t>Buduk</t>
        </is>
      </c>
      <c r="I35" s="15" t="inlineStr">
        <is>
          <t>S</t>
        </is>
      </c>
      <c r="J35" s="14" t="n">
        <v>20</v>
      </c>
      <c r="M35" s="6" t="inlineStr">
        <is>
          <t>A</t>
        </is>
      </c>
      <c r="N35" s="8" t="n">
        <v>14</v>
      </c>
      <c r="O35" s="7" t="n">
        <v>0</v>
      </c>
      <c r="P35" s="5" t="n">
        <v>17</v>
      </c>
      <c r="Q35" s="5" t="n">
        <v>19</v>
      </c>
      <c r="R35" s="5" t="n">
        <v>12</v>
      </c>
      <c r="S35" s="5" t="n">
        <v>26</v>
      </c>
      <c r="T35" s="5" t="n">
        <v>27</v>
      </c>
      <c r="U35" s="5" t="n">
        <v>33</v>
      </c>
      <c r="V35" s="5" t="n">
        <v>25</v>
      </c>
      <c r="W35" s="5" t="n">
        <v>30</v>
      </c>
      <c r="X35" s="5" t="n">
        <v>34</v>
      </c>
      <c r="Y35" s="5" t="n">
        <v>44</v>
      </c>
      <c r="Z35" s="5" t="n">
        <v>47</v>
      </c>
      <c r="AA35" s="5" t="n">
        <v>46</v>
      </c>
      <c r="AB35" s="5" t="n">
        <v>50</v>
      </c>
      <c r="AC35" s="5" t="n">
        <v>45</v>
      </c>
      <c r="AD35" s="5" t="n">
        <v>59</v>
      </c>
      <c r="AE35" s="5" t="n">
        <v>63</v>
      </c>
      <c r="AF35" s="5" t="n">
        <v>71</v>
      </c>
      <c r="AG35" s="5" t="n">
        <v>75</v>
      </c>
      <c r="AH35" s="5" t="n">
        <v>64</v>
      </c>
      <c r="AI35" s="5" t="n">
        <v>42</v>
      </c>
      <c r="AJ35" s="5" t="n">
        <v>27</v>
      </c>
      <c r="AK35" s="5" t="n">
        <v>43</v>
      </c>
      <c r="AL35" s="5" t="n">
        <v>47</v>
      </c>
      <c r="AM35" s="5" t="n">
        <v>49</v>
      </c>
    </row>
    <row r="36">
      <c r="G36" s="14" t="inlineStr">
        <is>
          <t>C</t>
        </is>
      </c>
      <c r="H36" s="14" t="inlineStr">
        <is>
          <t>Sempidi</t>
        </is>
      </c>
      <c r="I36" s="15" t="inlineStr">
        <is>
          <t>S</t>
        </is>
      </c>
      <c r="J36" s="14" t="n">
        <v>20</v>
      </c>
      <c r="M36" s="6" t="inlineStr">
        <is>
          <t>B</t>
        </is>
      </c>
      <c r="N36" s="8" t="n">
        <v>25</v>
      </c>
      <c r="O36" s="5" t="n">
        <v>17</v>
      </c>
      <c r="P36" s="7" t="n">
        <v>0</v>
      </c>
      <c r="Q36" s="5" t="n">
        <v>15</v>
      </c>
      <c r="R36" s="5" t="n">
        <v>7</v>
      </c>
      <c r="S36" s="5" t="n">
        <v>15</v>
      </c>
      <c r="T36" s="5" t="n">
        <v>19</v>
      </c>
      <c r="U36" s="5" t="n">
        <v>17</v>
      </c>
      <c r="V36" s="5" t="n">
        <v>9</v>
      </c>
      <c r="W36" s="5" t="n">
        <v>18</v>
      </c>
      <c r="X36" s="5" t="n">
        <v>27</v>
      </c>
      <c r="Y36" s="5" t="n">
        <v>33</v>
      </c>
      <c r="Z36" s="5" t="n">
        <v>28</v>
      </c>
      <c r="AA36" s="5" t="n">
        <v>38</v>
      </c>
      <c r="AB36" s="5" t="n">
        <v>41</v>
      </c>
      <c r="AC36" s="5" t="n">
        <v>34</v>
      </c>
      <c r="AD36" s="5" t="n">
        <v>42</v>
      </c>
      <c r="AE36" s="5" t="n">
        <v>44</v>
      </c>
      <c r="AF36" s="5" t="n">
        <v>53</v>
      </c>
      <c r="AG36" s="5" t="n">
        <v>46</v>
      </c>
      <c r="AH36" s="5" t="n">
        <v>67</v>
      </c>
      <c r="AI36" s="5" t="n">
        <v>37</v>
      </c>
      <c r="AJ36" s="5" t="n">
        <v>21</v>
      </c>
      <c r="AK36" s="5" t="n">
        <v>44</v>
      </c>
      <c r="AL36" s="5" t="n">
        <v>55</v>
      </c>
      <c r="AM36" s="5" t="n">
        <v>30</v>
      </c>
    </row>
    <row r="37">
      <c r="G37" s="16" t="inlineStr">
        <is>
          <t>D</t>
        </is>
      </c>
      <c r="H37" s="16" t="inlineStr">
        <is>
          <t>Dalung</t>
        </is>
      </c>
      <c r="I37" s="17" t="inlineStr">
        <is>
          <t>M</t>
        </is>
      </c>
      <c r="J37" s="16" t="n">
        <v>30</v>
      </c>
      <c r="M37" s="6" t="inlineStr">
        <is>
          <t>C</t>
        </is>
      </c>
      <c r="N37" s="8" t="n">
        <v>23</v>
      </c>
      <c r="O37" s="5" t="n">
        <v>19</v>
      </c>
      <c r="P37" s="5" t="n">
        <v>15</v>
      </c>
      <c r="Q37" s="7" t="n">
        <v>0</v>
      </c>
      <c r="R37" s="5" t="n">
        <v>6</v>
      </c>
      <c r="S37" s="5" t="n">
        <v>13</v>
      </c>
      <c r="T37" s="5" t="n">
        <v>14</v>
      </c>
      <c r="U37" s="5" t="n">
        <v>18</v>
      </c>
      <c r="V37" s="5" t="n">
        <v>16</v>
      </c>
      <c r="W37" s="5" t="n">
        <v>12</v>
      </c>
      <c r="X37" s="5" t="n">
        <v>21</v>
      </c>
      <c r="Y37" s="5" t="n">
        <v>27</v>
      </c>
      <c r="Z37" s="5" t="n">
        <v>29</v>
      </c>
      <c r="AA37" s="5" t="n">
        <v>27</v>
      </c>
      <c r="AB37" s="5" t="n">
        <v>27</v>
      </c>
      <c r="AC37" s="5" t="n">
        <v>24</v>
      </c>
      <c r="AD37" s="5" t="n">
        <v>41</v>
      </c>
      <c r="AE37" s="5" t="n">
        <v>42</v>
      </c>
      <c r="AF37" s="5" t="n">
        <v>50</v>
      </c>
      <c r="AG37" s="5" t="n">
        <v>43</v>
      </c>
      <c r="AH37" s="5" t="n">
        <v>54</v>
      </c>
      <c r="AI37" s="5" t="n">
        <v>21</v>
      </c>
      <c r="AJ37" s="5" t="n">
        <v>10</v>
      </c>
      <c r="AK37" s="5" t="n">
        <v>30</v>
      </c>
      <c r="AL37" s="5" t="n">
        <v>28</v>
      </c>
      <c r="AM37" s="5" t="n">
        <v>25</v>
      </c>
    </row>
    <row r="38">
      <c r="G38" s="16" t="inlineStr">
        <is>
          <t>E</t>
        </is>
      </c>
      <c r="H38" s="16" t="inlineStr">
        <is>
          <t>Tibubeneng</t>
        </is>
      </c>
      <c r="I38" s="17" t="inlineStr">
        <is>
          <t>M</t>
        </is>
      </c>
      <c r="J38" s="16" t="n">
        <v>30</v>
      </c>
      <c r="M38" s="6" t="inlineStr">
        <is>
          <t>D</t>
        </is>
      </c>
      <c r="N38" s="8" t="n">
        <v>24</v>
      </c>
      <c r="O38" s="5" t="n">
        <v>12</v>
      </c>
      <c r="P38" s="5" t="n">
        <v>7</v>
      </c>
      <c r="Q38" s="5" t="n">
        <v>6</v>
      </c>
      <c r="R38" s="7" t="n">
        <v>0</v>
      </c>
      <c r="S38" s="5" t="n">
        <v>17</v>
      </c>
      <c r="T38" s="5" t="n">
        <v>21</v>
      </c>
      <c r="U38" s="5" t="n">
        <v>24</v>
      </c>
      <c r="V38" s="5" t="n">
        <v>21</v>
      </c>
      <c r="W38" s="5" t="n">
        <v>20</v>
      </c>
      <c r="X38" s="5" t="n">
        <v>40</v>
      </c>
      <c r="Y38" s="5" t="n">
        <v>35</v>
      </c>
      <c r="Z38" s="5" t="n">
        <v>36</v>
      </c>
      <c r="AA38" s="5" t="n">
        <v>37</v>
      </c>
      <c r="AB38" s="5" t="n">
        <v>33</v>
      </c>
      <c r="AC38" s="5" t="n">
        <v>32</v>
      </c>
      <c r="AD38" s="5" t="n">
        <v>50</v>
      </c>
      <c r="AE38" s="5" t="n">
        <v>52</v>
      </c>
      <c r="AF38" s="5" t="n">
        <v>60</v>
      </c>
      <c r="AG38" s="5" t="n">
        <v>55</v>
      </c>
      <c r="AH38" s="5" t="n">
        <v>63</v>
      </c>
      <c r="AI38" s="5" t="n">
        <v>34</v>
      </c>
      <c r="AJ38" s="5" t="n">
        <v>20</v>
      </c>
      <c r="AK38" s="5" t="n">
        <v>43</v>
      </c>
      <c r="AL38" s="5" t="n">
        <v>40</v>
      </c>
      <c r="AM38" s="5" t="n">
        <v>38</v>
      </c>
    </row>
    <row r="39">
      <c r="G39" s="18" t="inlineStr">
        <is>
          <t>F</t>
        </is>
      </c>
      <c r="H39" s="18" t="inlineStr">
        <is>
          <t>Berawa</t>
        </is>
      </c>
      <c r="I39" s="19" t="inlineStr">
        <is>
          <t>L</t>
        </is>
      </c>
      <c r="J39" s="18" t="n">
        <v>40</v>
      </c>
      <c r="M39" s="6" t="inlineStr">
        <is>
          <t>E</t>
        </is>
      </c>
      <c r="N39" s="8" t="n">
        <v>34</v>
      </c>
      <c r="O39" s="5" t="n">
        <v>26</v>
      </c>
      <c r="P39" s="5" t="n">
        <v>15</v>
      </c>
      <c r="Q39" s="5" t="n">
        <v>13</v>
      </c>
      <c r="R39" s="5" t="n">
        <v>17</v>
      </c>
      <c r="S39" s="7" t="n">
        <v>0</v>
      </c>
      <c r="T39" s="5" t="n">
        <v>21</v>
      </c>
      <c r="U39" s="5" t="n">
        <v>24</v>
      </c>
      <c r="V39" s="5" t="n">
        <v>22</v>
      </c>
      <c r="W39" s="5" t="n">
        <v>20</v>
      </c>
      <c r="X39" s="5" t="n">
        <v>39</v>
      </c>
      <c r="Y39" s="5" t="n">
        <v>35</v>
      </c>
      <c r="Z39" s="5" t="n">
        <v>37</v>
      </c>
      <c r="AA39" s="5" t="n">
        <v>33</v>
      </c>
      <c r="AB39" s="5" t="n">
        <v>29</v>
      </c>
      <c r="AC39" s="5" t="n">
        <v>30</v>
      </c>
      <c r="AD39" s="5" t="n">
        <v>55</v>
      </c>
      <c r="AE39" s="5" t="n">
        <v>52</v>
      </c>
      <c r="AF39" s="5" t="n">
        <v>51</v>
      </c>
      <c r="AG39" s="5" t="n">
        <v>53</v>
      </c>
      <c r="AH39" s="5" t="n">
        <v>52</v>
      </c>
      <c r="AI39" s="5" t="n">
        <v>33</v>
      </c>
      <c r="AJ39" s="5" t="n">
        <v>20</v>
      </c>
      <c r="AK39" s="5" t="n">
        <v>42</v>
      </c>
      <c r="AL39" s="5" t="n">
        <v>40</v>
      </c>
      <c r="AM39" s="5" t="n">
        <v>38</v>
      </c>
    </row>
    <row r="40">
      <c r="G40" s="18" t="inlineStr">
        <is>
          <t>G</t>
        </is>
      </c>
      <c r="H40" s="18" t="inlineStr">
        <is>
          <t>Batu Bolong</t>
        </is>
      </c>
      <c r="I40" s="19" t="inlineStr">
        <is>
          <t>L</t>
        </is>
      </c>
      <c r="J40" s="18" t="n">
        <v>40</v>
      </c>
      <c r="M40" s="6" t="inlineStr">
        <is>
          <t>F</t>
        </is>
      </c>
      <c r="N40" s="8" t="n">
        <v>35</v>
      </c>
      <c r="O40" s="5" t="n">
        <v>27</v>
      </c>
      <c r="P40" s="5" t="n">
        <v>19</v>
      </c>
      <c r="Q40" s="5" t="n">
        <v>14</v>
      </c>
      <c r="R40" s="5" t="n">
        <v>21</v>
      </c>
      <c r="S40" s="5" t="n">
        <v>21</v>
      </c>
      <c r="T40" s="7" t="n">
        <v>0</v>
      </c>
      <c r="U40" s="5" t="n">
        <v>17</v>
      </c>
      <c r="V40" s="5" t="n">
        <v>11</v>
      </c>
      <c r="W40" s="5" t="n">
        <v>21</v>
      </c>
      <c r="X40" s="5" t="n">
        <v>20</v>
      </c>
      <c r="Y40" s="5" t="n">
        <v>30</v>
      </c>
      <c r="Z40" s="5" t="n">
        <v>31</v>
      </c>
      <c r="AA40" s="5" t="n">
        <v>32</v>
      </c>
      <c r="AB40" s="5" t="n">
        <v>43</v>
      </c>
      <c r="AC40" s="5" t="n">
        <v>28</v>
      </c>
      <c r="AD40" s="5" t="n">
        <v>47</v>
      </c>
      <c r="AE40" s="5" t="n">
        <v>33</v>
      </c>
      <c r="AF40" s="5" t="n">
        <v>41</v>
      </c>
      <c r="AG40" s="5" t="n">
        <v>50</v>
      </c>
      <c r="AH40" s="5" t="n">
        <v>58</v>
      </c>
      <c r="AI40" s="5" t="n">
        <v>22</v>
      </c>
      <c r="AJ40" s="5" t="n">
        <v>12</v>
      </c>
      <c r="AK40" s="5" t="n">
        <v>43</v>
      </c>
      <c r="AL40" s="5" t="n">
        <v>41</v>
      </c>
      <c r="AM40" s="5" t="n">
        <v>48</v>
      </c>
    </row>
    <row r="41">
      <c r="G41" s="16" t="inlineStr">
        <is>
          <t>H</t>
        </is>
      </c>
      <c r="H41" s="16" t="inlineStr">
        <is>
          <t>Pererenan</t>
        </is>
      </c>
      <c r="I41" s="17" t="inlineStr">
        <is>
          <t>M</t>
        </is>
      </c>
      <c r="J41" s="16" t="n">
        <v>30</v>
      </c>
      <c r="M41" s="6" t="inlineStr">
        <is>
          <t>G</t>
        </is>
      </c>
      <c r="N41" s="8" t="n">
        <v>36</v>
      </c>
      <c r="O41" s="5" t="n">
        <v>33</v>
      </c>
      <c r="P41" s="5" t="n">
        <v>17</v>
      </c>
      <c r="Q41" s="5" t="n">
        <v>18</v>
      </c>
      <c r="R41" s="5" t="n">
        <v>24</v>
      </c>
      <c r="S41" s="5" t="n">
        <v>24</v>
      </c>
      <c r="T41" s="5" t="n">
        <v>17</v>
      </c>
      <c r="U41" s="7" t="n">
        <v>0</v>
      </c>
      <c r="V41" s="5" t="n">
        <v>7</v>
      </c>
      <c r="W41" s="5" t="n">
        <v>14</v>
      </c>
      <c r="X41" s="5" t="n">
        <v>19</v>
      </c>
      <c r="Y41" s="5" t="n">
        <v>24</v>
      </c>
      <c r="Z41" s="5" t="n">
        <v>25</v>
      </c>
      <c r="AA41" s="5" t="n">
        <v>25</v>
      </c>
      <c r="AB41" s="5" t="n">
        <v>26</v>
      </c>
      <c r="AC41" s="5" t="n">
        <v>21</v>
      </c>
      <c r="AD41" s="5" t="n">
        <v>39</v>
      </c>
      <c r="AE41" s="5" t="n">
        <v>41</v>
      </c>
      <c r="AF41" s="5" t="n">
        <v>49</v>
      </c>
      <c r="AG41" s="5" t="n">
        <v>42</v>
      </c>
      <c r="AH41" s="5" t="n">
        <v>51</v>
      </c>
      <c r="AI41" s="5" t="n">
        <v>25</v>
      </c>
      <c r="AJ41" s="5" t="n">
        <v>15</v>
      </c>
      <c r="AK41" s="5" t="n">
        <v>36</v>
      </c>
      <c r="AL41" s="5" t="n">
        <v>35</v>
      </c>
      <c r="AM41" s="5" t="n">
        <v>30</v>
      </c>
    </row>
    <row r="42">
      <c r="G42" s="16" t="inlineStr">
        <is>
          <t>I</t>
        </is>
      </c>
      <c r="H42" s="16" t="inlineStr">
        <is>
          <t>Kerobokan</t>
        </is>
      </c>
      <c r="I42" s="17" t="inlineStr">
        <is>
          <t>M</t>
        </is>
      </c>
      <c r="J42" s="16" t="n">
        <v>30</v>
      </c>
      <c r="M42" s="6" t="inlineStr">
        <is>
          <t>H</t>
        </is>
      </c>
      <c r="N42" s="8" t="n">
        <v>31</v>
      </c>
      <c r="O42" s="5" t="n">
        <v>25</v>
      </c>
      <c r="P42" s="5" t="n">
        <v>9</v>
      </c>
      <c r="Q42" s="5" t="n">
        <v>16</v>
      </c>
      <c r="R42" s="5" t="n">
        <v>21</v>
      </c>
      <c r="S42" s="5" t="n">
        <v>22</v>
      </c>
      <c r="T42" s="5" t="n">
        <v>11</v>
      </c>
      <c r="U42" s="5" t="n">
        <v>7</v>
      </c>
      <c r="V42" s="7" t="n">
        <v>0</v>
      </c>
      <c r="W42" s="5" t="n">
        <v>15</v>
      </c>
      <c r="X42" s="5" t="n">
        <v>15</v>
      </c>
      <c r="Y42" s="5" t="n">
        <v>24</v>
      </c>
      <c r="Z42" s="5" t="n">
        <v>26</v>
      </c>
      <c r="AA42" s="5" t="n">
        <v>27</v>
      </c>
      <c r="AB42" s="5" t="n">
        <v>28</v>
      </c>
      <c r="AC42" s="5" t="n">
        <v>22</v>
      </c>
      <c r="AD42" s="5" t="n">
        <v>40</v>
      </c>
      <c r="AE42" s="5" t="n">
        <v>41</v>
      </c>
      <c r="AF42" s="5" t="n">
        <v>50</v>
      </c>
      <c r="AG42" s="5" t="n">
        <v>43</v>
      </c>
      <c r="AH42" s="5" t="n">
        <v>51</v>
      </c>
      <c r="AI42" s="5" t="n">
        <v>26</v>
      </c>
      <c r="AJ42" s="5" t="n">
        <v>16</v>
      </c>
      <c r="AK42" s="5" t="n">
        <v>36</v>
      </c>
      <c r="AL42" s="5" t="n">
        <v>35</v>
      </c>
      <c r="AM42" s="5" t="n">
        <v>31</v>
      </c>
    </row>
    <row r="43">
      <c r="G43" s="16" t="inlineStr">
        <is>
          <t>J</t>
        </is>
      </c>
      <c r="H43" s="16" t="inlineStr">
        <is>
          <t>Umalas</t>
        </is>
      </c>
      <c r="I43" s="17" t="inlineStr">
        <is>
          <t>M</t>
        </is>
      </c>
      <c r="J43" s="16" t="n">
        <v>30</v>
      </c>
      <c r="M43" s="6" t="inlineStr">
        <is>
          <t>I</t>
        </is>
      </c>
      <c r="N43" s="8" t="n">
        <v>36</v>
      </c>
      <c r="O43" s="5" t="n">
        <v>30</v>
      </c>
      <c r="P43" s="5" t="n">
        <v>18</v>
      </c>
      <c r="Q43" s="5" t="n">
        <v>12</v>
      </c>
      <c r="R43" s="5" t="n">
        <v>20</v>
      </c>
      <c r="S43" s="5" t="n">
        <v>20</v>
      </c>
      <c r="T43" s="5" t="n">
        <v>21</v>
      </c>
      <c r="U43" s="5" t="n">
        <v>14</v>
      </c>
      <c r="V43" s="5" t="n">
        <v>15</v>
      </c>
      <c r="W43" s="7" t="n">
        <v>0</v>
      </c>
      <c r="X43" s="5" t="n">
        <v>12</v>
      </c>
      <c r="Y43" s="5" t="n">
        <v>17</v>
      </c>
      <c r="Z43" s="5" t="n">
        <v>18</v>
      </c>
      <c r="AA43" s="5" t="n">
        <v>19</v>
      </c>
      <c r="AB43" s="5" t="n">
        <v>18</v>
      </c>
      <c r="AC43" s="5" t="n">
        <v>14</v>
      </c>
      <c r="AD43" s="5" t="n">
        <v>33</v>
      </c>
      <c r="AE43" s="5" t="n">
        <v>35</v>
      </c>
      <c r="AF43" s="5" t="n">
        <v>42</v>
      </c>
      <c r="AG43" s="5" t="n">
        <v>36</v>
      </c>
      <c r="AH43" s="5" t="n">
        <v>45</v>
      </c>
      <c r="AI43" s="5" t="n">
        <v>16</v>
      </c>
      <c r="AJ43" s="5" t="n">
        <v>3</v>
      </c>
      <c r="AK43" s="5" t="n">
        <v>27</v>
      </c>
      <c r="AL43" s="5" t="n">
        <v>25</v>
      </c>
      <c r="AM43" s="5" t="n">
        <v>22</v>
      </c>
    </row>
    <row r="44">
      <c r="G44" s="18" t="inlineStr">
        <is>
          <t>K</t>
        </is>
      </c>
      <c r="H44" s="18" t="inlineStr">
        <is>
          <t>Nakula</t>
        </is>
      </c>
      <c r="I44" s="19" t="inlineStr">
        <is>
          <t>L</t>
        </is>
      </c>
      <c r="J44" s="18" t="n">
        <v>40</v>
      </c>
      <c r="M44" s="6" t="inlineStr">
        <is>
          <t>J</t>
        </is>
      </c>
      <c r="N44" s="8" t="n">
        <v>42</v>
      </c>
      <c r="O44" s="5" t="n">
        <v>34</v>
      </c>
      <c r="P44" s="5" t="n">
        <v>27</v>
      </c>
      <c r="Q44" s="5" t="n">
        <v>21</v>
      </c>
      <c r="R44" s="5" t="n">
        <v>40</v>
      </c>
      <c r="S44" s="5" t="n">
        <v>39</v>
      </c>
      <c r="T44" s="5" t="n">
        <v>20</v>
      </c>
      <c r="U44" s="5" t="n">
        <v>19</v>
      </c>
      <c r="V44" s="5" t="n">
        <v>15</v>
      </c>
      <c r="W44" s="5" t="n">
        <v>12</v>
      </c>
      <c r="X44" s="7" t="n">
        <v>0</v>
      </c>
      <c r="Y44" s="5" t="n">
        <v>18</v>
      </c>
      <c r="Z44" s="5" t="n">
        <v>20</v>
      </c>
      <c r="AA44" s="5" t="n">
        <v>22</v>
      </c>
      <c r="AB44" s="5" t="n">
        <v>25</v>
      </c>
      <c r="AC44" s="5" t="n">
        <v>14</v>
      </c>
      <c r="AD44" s="5" t="n">
        <v>41</v>
      </c>
      <c r="AE44" s="5" t="n">
        <v>38</v>
      </c>
      <c r="AF44" s="5" t="n">
        <v>50</v>
      </c>
      <c r="AG44" s="5" t="n">
        <v>46</v>
      </c>
      <c r="AH44" s="5" t="n">
        <v>63</v>
      </c>
      <c r="AI44" s="5" t="n">
        <v>25</v>
      </c>
      <c r="AJ44" s="5" t="n">
        <v>17</v>
      </c>
      <c r="AK44" s="5" t="n">
        <v>44</v>
      </c>
      <c r="AL44" s="5" t="n">
        <v>45</v>
      </c>
      <c r="AM44" s="5" t="n">
        <v>34</v>
      </c>
    </row>
    <row r="45">
      <c r="G45" s="18" t="inlineStr">
        <is>
          <t>L</t>
        </is>
      </c>
      <c r="H45" s="18" t="inlineStr">
        <is>
          <t>Dewi Sri</t>
        </is>
      </c>
      <c r="I45" s="19" t="inlineStr">
        <is>
          <t>L</t>
        </is>
      </c>
      <c r="J45" s="18" t="n">
        <v>40</v>
      </c>
      <c r="M45" s="6" t="inlineStr">
        <is>
          <t>K</t>
        </is>
      </c>
      <c r="N45" s="8" t="n">
        <v>51</v>
      </c>
      <c r="O45" s="5" t="n">
        <v>44</v>
      </c>
      <c r="P45" s="5" t="n">
        <v>33</v>
      </c>
      <c r="Q45" s="5" t="n">
        <v>27</v>
      </c>
      <c r="R45" s="5" t="n">
        <v>35</v>
      </c>
      <c r="S45" s="5" t="n">
        <v>35</v>
      </c>
      <c r="T45" s="5" t="n">
        <v>30</v>
      </c>
      <c r="U45" s="5" t="n">
        <v>24</v>
      </c>
      <c r="V45" s="5" t="n">
        <v>24</v>
      </c>
      <c r="W45" s="5" t="n">
        <v>17</v>
      </c>
      <c r="X45" s="5" t="n">
        <v>18</v>
      </c>
      <c r="Y45" s="7" t="n">
        <v>0</v>
      </c>
      <c r="Z45" s="5" t="n">
        <v>7</v>
      </c>
      <c r="AA45" s="5" t="n">
        <v>4</v>
      </c>
      <c r="AB45" s="5" t="n">
        <v>9</v>
      </c>
      <c r="AC45" s="5" t="n">
        <v>11</v>
      </c>
      <c r="AD45" s="5" t="n">
        <v>24</v>
      </c>
      <c r="AE45" s="5" t="n">
        <v>21</v>
      </c>
      <c r="AF45" s="5" t="n">
        <v>39</v>
      </c>
      <c r="AG45" s="5" t="n">
        <v>29</v>
      </c>
      <c r="AH45" s="5" t="n">
        <v>46</v>
      </c>
      <c r="AI45" s="5" t="n">
        <v>30</v>
      </c>
      <c r="AJ45" s="5" t="n">
        <v>37</v>
      </c>
      <c r="AK45" s="5" t="n">
        <v>53</v>
      </c>
      <c r="AL45" s="5" t="n">
        <v>26</v>
      </c>
      <c r="AM45" s="5" t="n">
        <v>34</v>
      </c>
    </row>
    <row r="46">
      <c r="G46" s="18" t="inlineStr">
        <is>
          <t>M</t>
        </is>
      </c>
      <c r="H46" s="18" t="inlineStr">
        <is>
          <t>Kuta</t>
        </is>
      </c>
      <c r="I46" s="19" t="inlineStr">
        <is>
          <t>L</t>
        </is>
      </c>
      <c r="J46" s="18" t="n">
        <v>40</v>
      </c>
      <c r="M46" s="6" t="inlineStr">
        <is>
          <t>L</t>
        </is>
      </c>
      <c r="N46" s="8" t="n">
        <v>53</v>
      </c>
      <c r="O46" s="5" t="n">
        <v>47</v>
      </c>
      <c r="P46" s="5" t="n">
        <v>28</v>
      </c>
      <c r="Q46" s="5" t="n">
        <v>29</v>
      </c>
      <c r="R46" s="5" t="n">
        <v>36</v>
      </c>
      <c r="S46" s="5" t="n">
        <v>37</v>
      </c>
      <c r="T46" s="5" t="n">
        <v>31</v>
      </c>
      <c r="U46" s="5" t="n">
        <v>25</v>
      </c>
      <c r="V46" s="5" t="n">
        <v>26</v>
      </c>
      <c r="W46" s="5" t="n">
        <v>18</v>
      </c>
      <c r="X46" s="5" t="n">
        <v>20</v>
      </c>
      <c r="Y46" s="5" t="n">
        <v>7</v>
      </c>
      <c r="Z46" s="7" t="n">
        <v>0</v>
      </c>
      <c r="AA46" s="5" t="n">
        <v>11</v>
      </c>
      <c r="AB46" s="5" t="n">
        <v>10</v>
      </c>
      <c r="AC46" s="5" t="n">
        <v>7</v>
      </c>
      <c r="AD46" s="5" t="n">
        <v>29</v>
      </c>
      <c r="AE46" s="5" t="n">
        <v>23</v>
      </c>
      <c r="AF46" s="5" t="n">
        <v>35</v>
      </c>
      <c r="AG46" s="5" t="n">
        <v>34</v>
      </c>
      <c r="AH46" s="5" t="n">
        <v>49</v>
      </c>
      <c r="AI46" s="5" t="n">
        <v>21</v>
      </c>
      <c r="AJ46" s="5" t="n">
        <v>31</v>
      </c>
      <c r="AK46" s="5" t="n">
        <v>42</v>
      </c>
      <c r="AL46" s="5" t="n">
        <v>21</v>
      </c>
      <c r="AM46" s="5" t="n">
        <v>27</v>
      </c>
    </row>
    <row r="47">
      <c r="G47" s="18" t="inlineStr">
        <is>
          <t>N</t>
        </is>
      </c>
      <c r="H47" s="18" t="inlineStr">
        <is>
          <t>Sunset Road</t>
        </is>
      </c>
      <c r="I47" s="19" t="inlineStr">
        <is>
          <t>L</t>
        </is>
      </c>
      <c r="J47" s="18" t="n">
        <v>40</v>
      </c>
      <c r="M47" s="6" t="inlineStr">
        <is>
          <t>M</t>
        </is>
      </c>
      <c r="N47" s="8" t="n">
        <v>58</v>
      </c>
      <c r="O47" s="5" t="n">
        <v>46</v>
      </c>
      <c r="P47" s="5" t="n">
        <v>38</v>
      </c>
      <c r="Q47" s="5" t="n">
        <v>27</v>
      </c>
      <c r="R47" s="5" t="n">
        <v>37</v>
      </c>
      <c r="S47" s="5" t="n">
        <v>33</v>
      </c>
      <c r="T47" s="5" t="n">
        <v>32</v>
      </c>
      <c r="U47" s="5" t="n">
        <v>25</v>
      </c>
      <c r="V47" s="5" t="n">
        <v>27</v>
      </c>
      <c r="W47" s="5" t="n">
        <v>19</v>
      </c>
      <c r="X47" s="5" t="n">
        <v>22</v>
      </c>
      <c r="Y47" s="5" t="n">
        <v>4</v>
      </c>
      <c r="Z47" s="5" t="n">
        <v>11</v>
      </c>
      <c r="AA47" s="7" t="n">
        <v>0</v>
      </c>
      <c r="AB47" s="5" t="n">
        <v>13</v>
      </c>
      <c r="AC47" s="5" t="n">
        <v>18</v>
      </c>
      <c r="AD47" s="5" t="n">
        <v>25</v>
      </c>
      <c r="AE47" s="5" t="n">
        <v>15</v>
      </c>
      <c r="AF47" s="5" t="n">
        <v>27</v>
      </c>
      <c r="AG47" s="5" t="n">
        <v>24</v>
      </c>
      <c r="AH47" s="5" t="n">
        <v>41</v>
      </c>
      <c r="AI47" s="5" t="n">
        <v>30</v>
      </c>
      <c r="AJ47" s="5" t="n">
        <v>39</v>
      </c>
      <c r="AK47" s="5" t="n">
        <v>29</v>
      </c>
      <c r="AL47" s="5" t="n">
        <v>27</v>
      </c>
      <c r="AM47" s="5" t="n">
        <v>23</v>
      </c>
    </row>
    <row r="48">
      <c r="G48" s="18" t="inlineStr">
        <is>
          <t>O</t>
        </is>
      </c>
      <c r="H48" s="18" t="inlineStr">
        <is>
          <t>Seminyak</t>
        </is>
      </c>
      <c r="I48" s="19" t="inlineStr">
        <is>
          <t>L</t>
        </is>
      </c>
      <c r="J48" s="18" t="n">
        <v>40</v>
      </c>
      <c r="M48" s="6" t="inlineStr">
        <is>
          <t>N</t>
        </is>
      </c>
      <c r="N48" s="8" t="n">
        <v>50</v>
      </c>
      <c r="O48" s="5" t="n">
        <v>50</v>
      </c>
      <c r="P48" s="5" t="n">
        <v>41</v>
      </c>
      <c r="Q48" s="5" t="n">
        <v>27</v>
      </c>
      <c r="R48" s="5" t="n">
        <v>33</v>
      </c>
      <c r="S48" s="5" t="n">
        <v>29</v>
      </c>
      <c r="T48" s="5" t="n">
        <v>43</v>
      </c>
      <c r="U48" s="5" t="n">
        <v>26</v>
      </c>
      <c r="V48" s="5" t="n">
        <v>28</v>
      </c>
      <c r="W48" s="5" t="n">
        <v>18</v>
      </c>
      <c r="X48" s="5" t="n">
        <v>25</v>
      </c>
      <c r="Y48" s="5" t="n">
        <v>9</v>
      </c>
      <c r="Z48" s="5" t="n">
        <v>10</v>
      </c>
      <c r="AA48" s="5" t="n">
        <v>13</v>
      </c>
      <c r="AB48" s="7" t="n">
        <v>0</v>
      </c>
      <c r="AC48" s="5" t="n">
        <v>12</v>
      </c>
      <c r="AD48" s="5" t="n">
        <v>20</v>
      </c>
      <c r="AE48" s="5" t="n">
        <v>17</v>
      </c>
      <c r="AF48" s="5" t="n">
        <v>29</v>
      </c>
      <c r="AG48" s="5" t="n">
        <v>19</v>
      </c>
      <c r="AH48" s="5" t="n">
        <v>40</v>
      </c>
      <c r="AI48" s="5" t="n">
        <v>22</v>
      </c>
      <c r="AJ48" s="5" t="n">
        <v>38</v>
      </c>
      <c r="AK48" s="5" t="n">
        <v>25</v>
      </c>
      <c r="AL48" s="5" t="n">
        <v>22</v>
      </c>
      <c r="AM48" s="5" t="n">
        <v>17</v>
      </c>
    </row>
    <row r="49">
      <c r="G49" s="16" t="inlineStr">
        <is>
          <t>P</t>
        </is>
      </c>
      <c r="H49" s="16" t="inlineStr">
        <is>
          <t>Jimbaran</t>
        </is>
      </c>
      <c r="I49" s="17" t="inlineStr">
        <is>
          <t>M</t>
        </is>
      </c>
      <c r="J49" s="16" t="n">
        <v>30</v>
      </c>
      <c r="M49" s="6" t="inlineStr">
        <is>
          <t>O</t>
        </is>
      </c>
      <c r="N49" s="8" t="n">
        <v>47</v>
      </c>
      <c r="O49" s="5" t="n">
        <v>45</v>
      </c>
      <c r="P49" s="5" t="n">
        <v>34</v>
      </c>
      <c r="Q49" s="5" t="n">
        <v>24</v>
      </c>
      <c r="R49" s="5" t="n">
        <v>32</v>
      </c>
      <c r="S49" s="5" t="n">
        <v>30</v>
      </c>
      <c r="T49" s="5" t="n">
        <v>28</v>
      </c>
      <c r="U49" s="5" t="n">
        <v>21</v>
      </c>
      <c r="V49" s="5" t="n">
        <v>22</v>
      </c>
      <c r="W49" s="5" t="n">
        <v>14</v>
      </c>
      <c r="X49" s="5" t="n">
        <v>14</v>
      </c>
      <c r="Y49" s="5" t="n">
        <v>11</v>
      </c>
      <c r="Z49" s="5" t="n">
        <v>7</v>
      </c>
      <c r="AA49" s="5" t="n">
        <v>18</v>
      </c>
      <c r="AB49" s="5" t="n">
        <v>12</v>
      </c>
      <c r="AC49" s="7" t="n">
        <v>0</v>
      </c>
      <c r="AD49" s="5" t="n">
        <v>19</v>
      </c>
      <c r="AE49" s="5" t="n">
        <v>16</v>
      </c>
      <c r="AF49" s="5" t="n">
        <v>23</v>
      </c>
      <c r="AG49" s="5" t="n">
        <v>27</v>
      </c>
      <c r="AH49" s="5" t="n">
        <v>47</v>
      </c>
      <c r="AI49" s="5" t="n">
        <v>27</v>
      </c>
      <c r="AJ49" s="5" t="n">
        <v>26</v>
      </c>
      <c r="AK49" s="5" t="n">
        <v>19</v>
      </c>
      <c r="AL49" s="5" t="n">
        <v>17</v>
      </c>
      <c r="AM49" s="5" t="n">
        <v>21</v>
      </c>
    </row>
    <row r="50">
      <c r="G50" s="16" t="inlineStr">
        <is>
          <t>Q</t>
        </is>
      </c>
      <c r="H50" s="16" t="inlineStr">
        <is>
          <t>Nusa Dua</t>
        </is>
      </c>
      <c r="I50" s="17" t="inlineStr">
        <is>
          <t>M</t>
        </is>
      </c>
      <c r="J50" s="16" t="n">
        <v>30</v>
      </c>
      <c r="M50" s="6" t="inlineStr">
        <is>
          <t>P</t>
        </is>
      </c>
      <c r="N50" s="8" t="n">
        <v>65</v>
      </c>
      <c r="O50" s="5" t="n">
        <v>59</v>
      </c>
      <c r="P50" s="5" t="n">
        <v>42</v>
      </c>
      <c r="Q50" s="5" t="n">
        <v>41</v>
      </c>
      <c r="R50" s="5" t="n">
        <v>50</v>
      </c>
      <c r="S50" s="5" t="n">
        <v>55</v>
      </c>
      <c r="T50" s="5" t="n">
        <v>47</v>
      </c>
      <c r="U50" s="5" t="n">
        <v>39</v>
      </c>
      <c r="V50" s="5" t="n">
        <v>40</v>
      </c>
      <c r="W50" s="5" t="n">
        <v>33</v>
      </c>
      <c r="X50" s="5" t="n">
        <v>41</v>
      </c>
      <c r="Y50" s="5" t="n">
        <v>24</v>
      </c>
      <c r="Z50" s="5" t="n">
        <v>29</v>
      </c>
      <c r="AA50" s="5" t="n">
        <v>25</v>
      </c>
      <c r="AB50" s="5" t="n">
        <v>20</v>
      </c>
      <c r="AC50" s="5" t="n">
        <v>19</v>
      </c>
      <c r="AD50" s="7" t="n">
        <v>0</v>
      </c>
      <c r="AE50" s="5" t="n">
        <v>15</v>
      </c>
      <c r="AF50" s="5" t="n">
        <v>37</v>
      </c>
      <c r="AG50" s="5" t="n">
        <v>6</v>
      </c>
      <c r="AH50" s="5" t="n">
        <v>22</v>
      </c>
      <c r="AI50" s="5" t="n">
        <v>40</v>
      </c>
      <c r="AJ50" s="5" t="n">
        <v>58</v>
      </c>
      <c r="AK50" s="5" t="n">
        <v>39</v>
      </c>
      <c r="AL50" s="5" t="n">
        <v>34</v>
      </c>
      <c r="AM50" s="5" t="n">
        <v>41</v>
      </c>
    </row>
    <row r="51">
      <c r="G51" s="16" t="inlineStr">
        <is>
          <t>R</t>
        </is>
      </c>
      <c r="H51" s="16" t="inlineStr">
        <is>
          <t>Benoa</t>
        </is>
      </c>
      <c r="I51" s="17" t="inlineStr">
        <is>
          <t>M</t>
        </is>
      </c>
      <c r="J51" s="16" t="n">
        <v>30</v>
      </c>
      <c r="M51" s="6" t="inlineStr">
        <is>
          <t>Q</t>
        </is>
      </c>
      <c r="N51" s="8" t="n">
        <v>65</v>
      </c>
      <c r="O51" s="5" t="n">
        <v>63</v>
      </c>
      <c r="P51" s="5" t="n">
        <v>44</v>
      </c>
      <c r="Q51" s="5" t="n">
        <v>42</v>
      </c>
      <c r="R51" s="5" t="n">
        <v>52</v>
      </c>
      <c r="S51" s="5" t="n">
        <v>52</v>
      </c>
      <c r="T51" s="5" t="n">
        <v>33</v>
      </c>
      <c r="U51" s="5" t="n">
        <v>41</v>
      </c>
      <c r="V51" s="5" t="n">
        <v>41</v>
      </c>
      <c r="W51" s="5" t="n">
        <v>35</v>
      </c>
      <c r="X51" s="5" t="n">
        <v>38</v>
      </c>
      <c r="Y51" s="5" t="n">
        <v>21</v>
      </c>
      <c r="Z51" s="5" t="n">
        <v>23</v>
      </c>
      <c r="AA51" s="5" t="n">
        <v>15</v>
      </c>
      <c r="AB51" s="5" t="n">
        <v>17</v>
      </c>
      <c r="AC51" s="5" t="n">
        <v>16</v>
      </c>
      <c r="AD51" s="5" t="n">
        <v>15</v>
      </c>
      <c r="AE51" s="7" t="n">
        <v>0</v>
      </c>
      <c r="AF51" s="5" t="n">
        <v>11</v>
      </c>
      <c r="AG51" s="5" t="n">
        <v>20</v>
      </c>
      <c r="AH51" s="5" t="n">
        <v>33</v>
      </c>
      <c r="AI51" s="5" t="n">
        <v>37</v>
      </c>
      <c r="AJ51" s="5" t="n">
        <v>62</v>
      </c>
      <c r="AK51" s="5" t="n">
        <v>35</v>
      </c>
      <c r="AL51" s="5" t="n">
        <v>25</v>
      </c>
      <c r="AM51" s="5" t="n">
        <v>27</v>
      </c>
    </row>
    <row r="52">
      <c r="G52" s="16" t="inlineStr">
        <is>
          <t>S</t>
        </is>
      </c>
      <c r="H52" s="16" t="inlineStr">
        <is>
          <t>Ungasan</t>
        </is>
      </c>
      <c r="I52" s="17" t="inlineStr">
        <is>
          <t>M</t>
        </is>
      </c>
      <c r="J52" s="16" t="n">
        <v>30</v>
      </c>
      <c r="M52" s="6" t="inlineStr">
        <is>
          <t>R</t>
        </is>
      </c>
      <c r="N52" s="8" t="n">
        <v>75</v>
      </c>
      <c r="O52" s="5" t="n">
        <v>71</v>
      </c>
      <c r="P52" s="5" t="n">
        <v>53</v>
      </c>
      <c r="Q52" s="5" t="n">
        <v>50</v>
      </c>
      <c r="R52" s="5" t="n">
        <v>60</v>
      </c>
      <c r="S52" s="5" t="n">
        <v>51</v>
      </c>
      <c r="T52" s="5" t="n">
        <v>41</v>
      </c>
      <c r="U52" s="5" t="n">
        <v>49</v>
      </c>
      <c r="V52" s="5" t="n">
        <v>50</v>
      </c>
      <c r="W52" s="5" t="n">
        <v>42</v>
      </c>
      <c r="X52" s="5" t="n">
        <v>50</v>
      </c>
      <c r="Y52" s="5" t="n">
        <v>39</v>
      </c>
      <c r="Z52" s="5" t="n">
        <v>35</v>
      </c>
      <c r="AA52" s="5" t="n">
        <v>27</v>
      </c>
      <c r="AB52" s="5" t="n">
        <v>29</v>
      </c>
      <c r="AC52" s="5" t="n">
        <v>23</v>
      </c>
      <c r="AD52" s="5" t="n">
        <v>37</v>
      </c>
      <c r="AE52" s="5" t="n">
        <v>11</v>
      </c>
      <c r="AF52" s="7" t="n">
        <v>0</v>
      </c>
      <c r="AG52" s="5" t="n">
        <v>29</v>
      </c>
      <c r="AH52" s="5" t="n">
        <v>42</v>
      </c>
      <c r="AI52" s="5" t="n">
        <v>41</v>
      </c>
      <c r="AJ52" s="5" t="n">
        <v>61</v>
      </c>
      <c r="AK52" s="5" t="n">
        <v>39</v>
      </c>
      <c r="AL52" s="5" t="n">
        <v>44</v>
      </c>
      <c r="AM52" s="5" t="n">
        <v>35</v>
      </c>
    </row>
    <row r="53">
      <c r="G53" s="16" t="inlineStr">
        <is>
          <t>T</t>
        </is>
      </c>
      <c r="H53" s="16" t="inlineStr">
        <is>
          <t>Pecatu</t>
        </is>
      </c>
      <c r="I53" s="17" t="inlineStr">
        <is>
          <t>M</t>
        </is>
      </c>
      <c r="J53" s="16" t="n">
        <v>30</v>
      </c>
      <c r="M53" s="6" t="inlineStr">
        <is>
          <t>S</t>
        </is>
      </c>
      <c r="N53" s="8" t="n">
        <v>68</v>
      </c>
      <c r="O53" s="5" t="n">
        <v>75</v>
      </c>
      <c r="P53" s="5" t="n">
        <v>46</v>
      </c>
      <c r="Q53" s="5" t="n">
        <v>43</v>
      </c>
      <c r="R53" s="5" t="n">
        <v>55</v>
      </c>
      <c r="S53" s="5" t="n">
        <v>53</v>
      </c>
      <c r="T53" s="5" t="n">
        <v>50</v>
      </c>
      <c r="U53" s="5" t="n">
        <v>42</v>
      </c>
      <c r="V53" s="5" t="n">
        <v>43</v>
      </c>
      <c r="W53" s="5" t="n">
        <v>36</v>
      </c>
      <c r="X53" s="5" t="n">
        <v>46</v>
      </c>
      <c r="Y53" s="5" t="n">
        <v>29</v>
      </c>
      <c r="Z53" s="5" t="n">
        <v>34</v>
      </c>
      <c r="AA53" s="5" t="n">
        <v>24</v>
      </c>
      <c r="AB53" s="5" t="n">
        <v>19</v>
      </c>
      <c r="AC53" s="5" t="n">
        <v>27</v>
      </c>
      <c r="AD53" s="5" t="n">
        <v>6</v>
      </c>
      <c r="AE53" s="5" t="n">
        <v>20</v>
      </c>
      <c r="AF53" s="5" t="n">
        <v>29</v>
      </c>
      <c r="AG53" s="7" t="n">
        <v>0</v>
      </c>
      <c r="AH53" s="5" t="n">
        <v>15</v>
      </c>
      <c r="AI53" s="5" t="n">
        <v>42</v>
      </c>
      <c r="AJ53" s="5" t="n">
        <v>58</v>
      </c>
      <c r="AK53" s="5" t="n">
        <v>42</v>
      </c>
      <c r="AL53" s="5" t="n">
        <v>39</v>
      </c>
      <c r="AM53" s="5" t="n">
        <v>38</v>
      </c>
    </row>
    <row r="54">
      <c r="G54" s="18" t="inlineStr">
        <is>
          <t>U</t>
        </is>
      </c>
      <c r="H54" s="18" t="inlineStr">
        <is>
          <t>Teuku Umar</t>
        </is>
      </c>
      <c r="I54" s="19" t="inlineStr">
        <is>
          <t>L</t>
        </is>
      </c>
      <c r="J54" s="18" t="n">
        <v>40</v>
      </c>
      <c r="M54" s="6" t="inlineStr">
        <is>
          <t>T</t>
        </is>
      </c>
      <c r="N54" s="8" t="n">
        <v>79</v>
      </c>
      <c r="O54" s="5" t="n">
        <v>64</v>
      </c>
      <c r="P54" s="5" t="n">
        <v>67</v>
      </c>
      <c r="Q54" s="5" t="n">
        <v>54</v>
      </c>
      <c r="R54" s="5" t="n">
        <v>63</v>
      </c>
      <c r="S54" s="5" t="n">
        <v>52</v>
      </c>
      <c r="T54" s="5" t="n">
        <v>58</v>
      </c>
      <c r="U54" s="5" t="n">
        <v>51</v>
      </c>
      <c r="V54" s="5" t="n">
        <v>51</v>
      </c>
      <c r="W54" s="5" t="n">
        <v>45</v>
      </c>
      <c r="X54" s="5" t="n">
        <v>63</v>
      </c>
      <c r="Y54" s="5" t="n">
        <v>46</v>
      </c>
      <c r="Z54" s="5" t="n">
        <v>49</v>
      </c>
      <c r="AA54" s="5" t="n">
        <v>41</v>
      </c>
      <c r="AB54" s="5" t="n">
        <v>40</v>
      </c>
      <c r="AC54" s="5" t="n">
        <v>47</v>
      </c>
      <c r="AD54" s="5" t="n">
        <v>22</v>
      </c>
      <c r="AE54" s="5" t="n">
        <v>33</v>
      </c>
      <c r="AF54" s="5" t="n">
        <v>42</v>
      </c>
      <c r="AG54" s="5" t="n">
        <v>15</v>
      </c>
      <c r="AH54" s="7" t="n">
        <v>0</v>
      </c>
      <c r="AI54" s="5" t="n">
        <v>60</v>
      </c>
      <c r="AJ54" s="5" t="n">
        <v>79</v>
      </c>
      <c r="AK54" s="5" t="n">
        <v>55</v>
      </c>
      <c r="AL54" s="5" t="n">
        <v>27</v>
      </c>
      <c r="AM54" s="5" t="n">
        <v>54</v>
      </c>
    </row>
    <row r="55">
      <c r="G55" s="16" t="inlineStr">
        <is>
          <t>V</t>
        </is>
      </c>
      <c r="H55" s="16" t="inlineStr">
        <is>
          <t>Gatsu</t>
        </is>
      </c>
      <c r="I55" s="17" t="inlineStr">
        <is>
          <t>M</t>
        </is>
      </c>
      <c r="J55" s="16" t="n">
        <v>30</v>
      </c>
      <c r="M55" s="6" t="inlineStr">
        <is>
          <t>U</t>
        </is>
      </c>
      <c r="N55" s="8" t="n">
        <v>44</v>
      </c>
      <c r="O55" s="5" t="n">
        <v>42</v>
      </c>
      <c r="P55" s="5" t="n">
        <v>37</v>
      </c>
      <c r="Q55" s="5" t="n">
        <v>21</v>
      </c>
      <c r="R55" s="5" t="n">
        <v>34</v>
      </c>
      <c r="S55" s="5" t="n">
        <v>33</v>
      </c>
      <c r="T55" s="5" t="n">
        <v>22</v>
      </c>
      <c r="U55" s="5" t="n">
        <v>25</v>
      </c>
      <c r="V55" s="5" t="n">
        <v>26</v>
      </c>
      <c r="W55" s="5" t="n">
        <v>16</v>
      </c>
      <c r="X55" s="5" t="n">
        <v>25</v>
      </c>
      <c r="Y55" s="5" t="n">
        <v>30</v>
      </c>
      <c r="Z55" s="5" t="n">
        <v>21</v>
      </c>
      <c r="AA55" s="5" t="n">
        <v>30</v>
      </c>
      <c r="AB55" s="5" t="n">
        <v>22</v>
      </c>
      <c r="AC55" s="5" t="n">
        <v>27</v>
      </c>
      <c r="AD55" s="5" t="n">
        <v>40</v>
      </c>
      <c r="AE55" s="5" t="n">
        <v>37</v>
      </c>
      <c r="AF55" s="5" t="n">
        <v>41</v>
      </c>
      <c r="AG55" s="5" t="n">
        <v>42</v>
      </c>
      <c r="AH55" s="5" t="n">
        <v>60</v>
      </c>
      <c r="AI55" s="7" t="n">
        <v>0</v>
      </c>
      <c r="AJ55" s="5" t="n">
        <v>21</v>
      </c>
      <c r="AK55" s="5" t="n">
        <v>27</v>
      </c>
      <c r="AL55" s="5" t="n">
        <v>17</v>
      </c>
      <c r="AM55" s="5" t="n">
        <v>11</v>
      </c>
    </row>
    <row r="56">
      <c r="G56" s="18" t="inlineStr">
        <is>
          <t>W</t>
        </is>
      </c>
      <c r="H56" s="18" t="inlineStr">
        <is>
          <t>Sanur</t>
        </is>
      </c>
      <c r="I56" s="19" t="inlineStr">
        <is>
          <t>L</t>
        </is>
      </c>
      <c r="J56" s="18" t="n">
        <v>40</v>
      </c>
      <c r="M56" s="6" t="inlineStr">
        <is>
          <t>V</t>
        </is>
      </c>
      <c r="N56" s="8" t="n">
        <v>34</v>
      </c>
      <c r="O56" s="5" t="n">
        <v>27</v>
      </c>
      <c r="P56" s="5" t="n">
        <v>21</v>
      </c>
      <c r="Q56" s="5" t="n">
        <v>10</v>
      </c>
      <c r="R56" s="5" t="n">
        <v>20</v>
      </c>
      <c r="S56" s="5" t="n">
        <v>20</v>
      </c>
      <c r="T56" s="5" t="n">
        <v>12</v>
      </c>
      <c r="U56" s="5" t="n">
        <v>15</v>
      </c>
      <c r="V56" s="5" t="n">
        <v>16</v>
      </c>
      <c r="W56" s="5" t="n">
        <v>3</v>
      </c>
      <c r="X56" s="5" t="n">
        <v>17</v>
      </c>
      <c r="Y56" s="5" t="n">
        <v>37</v>
      </c>
      <c r="Z56" s="5" t="n">
        <v>31</v>
      </c>
      <c r="AA56" s="5" t="n">
        <v>39</v>
      </c>
      <c r="AB56" s="5" t="n">
        <v>38</v>
      </c>
      <c r="AC56" s="5" t="n">
        <v>26</v>
      </c>
      <c r="AD56" s="5" t="n">
        <v>58</v>
      </c>
      <c r="AE56" s="5" t="n">
        <v>62</v>
      </c>
      <c r="AF56" s="5" t="n">
        <v>61</v>
      </c>
      <c r="AG56" s="5" t="n">
        <v>58</v>
      </c>
      <c r="AH56" s="5" t="n">
        <v>79</v>
      </c>
      <c r="AI56" s="5" t="n">
        <v>21</v>
      </c>
      <c r="AJ56" s="7" t="n">
        <v>0</v>
      </c>
      <c r="AK56" s="5" t="n">
        <v>37</v>
      </c>
      <c r="AL56" s="5" t="n">
        <v>29</v>
      </c>
      <c r="AM56" s="5" t="n">
        <v>33</v>
      </c>
    </row>
    <row r="57">
      <c r="G57" s="16" t="inlineStr">
        <is>
          <t>X</t>
        </is>
      </c>
      <c r="H57" s="16" t="inlineStr">
        <is>
          <t>Renon</t>
        </is>
      </c>
      <c r="I57" s="17" t="inlineStr">
        <is>
          <t>M</t>
        </is>
      </c>
      <c r="J57" s="16" t="n">
        <v>30</v>
      </c>
      <c r="M57" s="6" t="inlineStr">
        <is>
          <t>W</t>
        </is>
      </c>
      <c r="N57" s="8" t="n">
        <v>49</v>
      </c>
      <c r="O57" s="5" t="n">
        <v>43</v>
      </c>
      <c r="P57" s="5" t="n">
        <v>44</v>
      </c>
      <c r="Q57" s="5" t="n">
        <v>30</v>
      </c>
      <c r="R57" s="5" t="n">
        <v>43</v>
      </c>
      <c r="S57" s="5" t="n">
        <v>42</v>
      </c>
      <c r="T57" s="5" t="n">
        <v>43</v>
      </c>
      <c r="U57" s="5" t="n">
        <v>36</v>
      </c>
      <c r="V57" s="5" t="n">
        <v>36</v>
      </c>
      <c r="W57" s="5" t="n">
        <v>27</v>
      </c>
      <c r="X57" s="5" t="n">
        <v>44</v>
      </c>
      <c r="Y57" s="5" t="n">
        <v>53</v>
      </c>
      <c r="Z57" s="5" t="n">
        <v>42</v>
      </c>
      <c r="AA57" s="5" t="n">
        <v>29</v>
      </c>
      <c r="AB57" s="5" t="n">
        <v>25</v>
      </c>
      <c r="AC57" s="5" t="n">
        <v>19</v>
      </c>
      <c r="AD57" s="5" t="n">
        <v>39</v>
      </c>
      <c r="AE57" s="5" t="n">
        <v>35</v>
      </c>
      <c r="AF57" s="5" t="n">
        <v>39</v>
      </c>
      <c r="AG57" s="5" t="n">
        <v>42</v>
      </c>
      <c r="AH57" s="5" t="n">
        <v>55</v>
      </c>
      <c r="AI57" s="5" t="n">
        <v>27</v>
      </c>
      <c r="AJ57" s="5" t="n">
        <v>37</v>
      </c>
      <c r="AK57" s="7" t="n">
        <v>0</v>
      </c>
      <c r="AL57" s="5" t="n">
        <v>9</v>
      </c>
      <c r="AM57" s="5" t="n">
        <v>20</v>
      </c>
    </row>
    <row r="58">
      <c r="G58" s="16" t="inlineStr">
        <is>
          <t>Y</t>
        </is>
      </c>
      <c r="H58" s="16" t="inlineStr">
        <is>
          <t>Sesetan</t>
        </is>
      </c>
      <c r="I58" s="17" t="inlineStr">
        <is>
          <t>M</t>
        </is>
      </c>
      <c r="J58" s="16" t="n">
        <v>30</v>
      </c>
      <c r="M58" s="6" t="inlineStr">
        <is>
          <t>X</t>
        </is>
      </c>
      <c r="N58" s="8" t="n">
        <v>52</v>
      </c>
      <c r="O58" s="5" t="n">
        <v>47</v>
      </c>
      <c r="P58" s="5" t="n">
        <v>55</v>
      </c>
      <c r="Q58" s="5" t="n">
        <v>28</v>
      </c>
      <c r="R58" s="5" t="n">
        <v>40</v>
      </c>
      <c r="S58" s="5" t="n">
        <v>40</v>
      </c>
      <c r="T58" s="5" t="n">
        <v>41</v>
      </c>
      <c r="U58" s="5" t="n">
        <v>35</v>
      </c>
      <c r="V58" s="5" t="n">
        <v>35</v>
      </c>
      <c r="W58" s="5" t="n">
        <v>25</v>
      </c>
      <c r="X58" s="5" t="n">
        <v>45</v>
      </c>
      <c r="Y58" s="5" t="n">
        <v>26</v>
      </c>
      <c r="Z58" s="5" t="n">
        <v>21</v>
      </c>
      <c r="AA58" s="5" t="n">
        <v>27</v>
      </c>
      <c r="AB58" s="5" t="n">
        <v>22</v>
      </c>
      <c r="AC58" s="5" t="n">
        <v>17</v>
      </c>
      <c r="AD58" s="5" t="n">
        <v>34</v>
      </c>
      <c r="AE58" s="5" t="n">
        <v>25</v>
      </c>
      <c r="AF58" s="5" t="n">
        <v>44</v>
      </c>
      <c r="AG58" s="5" t="n">
        <v>39</v>
      </c>
      <c r="AH58" s="5" t="n">
        <v>27</v>
      </c>
      <c r="AI58" s="5" t="n">
        <v>17</v>
      </c>
      <c r="AJ58" s="5" t="n">
        <v>29</v>
      </c>
      <c r="AK58" s="5" t="n">
        <v>9</v>
      </c>
      <c r="AL58" s="7" t="n">
        <v>0</v>
      </c>
      <c r="AM58" s="5" t="n">
        <v>15</v>
      </c>
    </row>
    <row r="59">
      <c r="M59" s="6" t="inlineStr">
        <is>
          <t>Y</t>
        </is>
      </c>
      <c r="N59" s="8" t="n">
        <v>49</v>
      </c>
      <c r="O59" s="5" t="n">
        <v>49</v>
      </c>
      <c r="P59" s="5" t="n">
        <v>30</v>
      </c>
      <c r="Q59" s="5" t="n">
        <v>25</v>
      </c>
      <c r="R59" s="5" t="n">
        <v>38</v>
      </c>
      <c r="S59" s="5" t="n">
        <v>38</v>
      </c>
      <c r="T59" s="5" t="n">
        <v>48</v>
      </c>
      <c r="U59" s="5" t="n">
        <v>30</v>
      </c>
      <c r="V59" s="5" t="n">
        <v>31</v>
      </c>
      <c r="W59" s="5" t="n">
        <v>22</v>
      </c>
      <c r="X59" s="5" t="n">
        <v>34</v>
      </c>
      <c r="Y59" s="5" t="n">
        <v>34</v>
      </c>
      <c r="Z59" s="5" t="n">
        <v>27</v>
      </c>
      <c r="AA59" s="5" t="n">
        <v>23</v>
      </c>
      <c r="AB59" s="5" t="n">
        <v>17</v>
      </c>
      <c r="AC59" s="5" t="n">
        <v>21</v>
      </c>
      <c r="AD59" s="5" t="n">
        <v>41</v>
      </c>
      <c r="AE59" s="5" t="n">
        <v>27</v>
      </c>
      <c r="AF59" s="5" t="n">
        <v>35</v>
      </c>
      <c r="AG59" s="5" t="n">
        <v>38</v>
      </c>
      <c r="AH59" s="5" t="n">
        <v>54</v>
      </c>
      <c r="AI59" s="5" t="n">
        <v>11</v>
      </c>
      <c r="AJ59" s="5" t="n">
        <v>33</v>
      </c>
      <c r="AK59" s="5" t="n">
        <v>20</v>
      </c>
      <c r="AL59" s="5" t="n">
        <v>15</v>
      </c>
      <c r="AM59" s="7" t="n">
        <v>0</v>
      </c>
    </row>
  </sheetData>
  <mergeCells count="5">
    <mergeCell ref="B32:D32"/>
    <mergeCell ref="M2:AM2"/>
    <mergeCell ref="M32:AM32"/>
    <mergeCell ref="B3:D27"/>
    <mergeCell ref="G32:J32"/>
  </mergeCells>
  <hyperlinks>
    <hyperlink xmlns:r="http://schemas.openxmlformats.org/officeDocument/2006/relationships" ref="I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4"/>
  <sheetViews>
    <sheetView zoomScale="29" workbookViewId="0">
      <selection activeCell="AN27" sqref="AN27"/>
    </sheetView>
  </sheetViews>
  <sheetFormatPr baseColWidth="8" defaultRowHeight="14.5"/>
  <cols>
    <col width="23.08984375" customWidth="1" min="2" max="2"/>
    <col width="56.08984375" customWidth="1" style="23" min="3" max="3"/>
    <col width="13.1796875" customWidth="1" min="4" max="4"/>
    <col width="13.36328125" customWidth="1" min="5" max="5"/>
    <col width="12.1796875" customWidth="1" min="6" max="6"/>
    <col width="8.7265625" customWidth="1" style="23" min="7" max="7"/>
    <col width="8.7265625" customWidth="1" style="23" min="8" max="11"/>
  </cols>
  <sheetData>
    <row r="1">
      <c r="A1" s="93" t="inlineStr">
        <is>
          <t>INVENTARISASI GEOMETRIK JALAN</t>
        </is>
      </c>
    </row>
    <row r="2"/>
    <row r="3"/>
    <row r="4"/>
    <row r="5"/>
    <row r="7">
      <c r="Q7" s="20" t="n"/>
      <c r="AL7" t="inlineStr">
        <is>
          <t>KELAS I</t>
        </is>
      </c>
    </row>
    <row r="8" ht="29" customFormat="1" customHeight="1" s="28">
      <c r="A8" s="25" t="inlineStr">
        <is>
          <t>KODE</t>
        </is>
      </c>
      <c r="B8" s="26" t="n"/>
      <c r="C8" s="27" t="inlineStr">
        <is>
          <t>ALAMAT</t>
        </is>
      </c>
      <c r="D8" s="89" t="inlineStr">
        <is>
          <t>KELAS JALAN</t>
        </is>
      </c>
      <c r="E8" s="89" t="inlineStr">
        <is>
          <t>TIPE JALAN</t>
        </is>
      </c>
      <c r="F8" s="86" t="inlineStr">
        <is>
          <t>LEBAR JALUR 2 ARAH</t>
        </is>
      </c>
      <c r="G8" s="86" t="inlineStr">
        <is>
          <t>LEBAR LAJUR 1</t>
        </is>
      </c>
      <c r="H8" s="86" t="inlineStr">
        <is>
          <t>LEBAR LAJUR 2</t>
        </is>
      </c>
      <c r="I8" s="86" t="inlineStr">
        <is>
          <t>LEBAR LAJUR 3</t>
        </is>
      </c>
      <c r="J8" s="5" t="inlineStr">
        <is>
          <t>LEBAR LAJUR 4</t>
        </is>
      </c>
      <c r="K8" s="5" t="inlineStr">
        <is>
          <t>LEBAR LAJUR 5</t>
        </is>
      </c>
      <c r="L8" s="86" t="inlineStr">
        <is>
          <t>LEBAR LAJUR 6</t>
        </is>
      </c>
      <c r="AL8" s="28" t="inlineStr">
        <is>
          <t>lebar</t>
        </is>
      </c>
      <c r="AM8" s="28">
        <f>2550/1000</f>
        <v/>
      </c>
      <c r="AN8" s="28" t="inlineStr">
        <is>
          <t>m</t>
        </is>
      </c>
    </row>
    <row r="9">
      <c r="A9" s="4" t="n"/>
      <c r="B9" s="4" t="inlineStr">
        <is>
          <t>Gudang</t>
        </is>
      </c>
      <c r="C9" s="21" t="inlineStr">
        <is>
          <t>https://maps.app.goo.gl/anV3zK58N5y8QEa77</t>
        </is>
      </c>
      <c r="D9" s="8" t="inlineStr">
        <is>
          <t>KELAS 3</t>
        </is>
      </c>
      <c r="E9" s="8" t="inlineStr">
        <is>
          <t>2/2 UD</t>
        </is>
      </c>
      <c r="F9" s="8" t="n">
        <v>6.67</v>
      </c>
      <c r="G9" s="22" t="n">
        <v>3.31</v>
      </c>
      <c r="H9" s="22" t="n">
        <v>3.3</v>
      </c>
      <c r="I9" s="22" t="n"/>
      <c r="J9" s="22" t="n"/>
      <c r="K9" s="22" t="n"/>
      <c r="L9" s="8" t="n"/>
      <c r="AL9" t="inlineStr">
        <is>
          <t>KELAS II</t>
        </is>
      </c>
    </row>
    <row r="10" ht="29" customHeight="1">
      <c r="A10" s="86" t="inlineStr">
        <is>
          <t>A</t>
        </is>
      </c>
      <c r="B10" s="5" t="inlineStr">
        <is>
          <t>Mengwi</t>
        </is>
      </c>
      <c r="C10" s="22" t="inlineStr">
        <is>
          <t>Indomaret Mengwitani, Jalan Raya, Mengwitani, Mengwi, Badung Regency, Bali 80351</t>
        </is>
      </c>
      <c r="D10" s="8" t="inlineStr">
        <is>
          <t>KELAS 2</t>
        </is>
      </c>
      <c r="E10" s="8" t="inlineStr">
        <is>
          <t>2/2 UD</t>
        </is>
      </c>
      <c r="F10" s="8" t="n">
        <v>9.44</v>
      </c>
      <c r="G10" s="22" t="n">
        <v>4.25</v>
      </c>
      <c r="H10" s="22" t="n">
        <v>4.89</v>
      </c>
      <c r="I10" s="22" t="n"/>
      <c r="J10" s="22" t="n"/>
      <c r="K10" s="22" t="n"/>
      <c r="L10" s="8" t="n"/>
      <c r="AL10" t="inlineStr">
        <is>
          <t>lebar</t>
        </is>
      </c>
      <c r="AM10">
        <f>AM8</f>
        <v/>
      </c>
      <c r="AN10" t="inlineStr">
        <is>
          <t>m</t>
        </is>
      </c>
    </row>
    <row r="11" ht="29" customHeight="1">
      <c r="A11" s="86" t="inlineStr">
        <is>
          <t>B</t>
        </is>
      </c>
      <c r="B11" s="5" t="inlineStr">
        <is>
          <t>Buduk</t>
        </is>
      </c>
      <c r="C11" s="22" t="inlineStr">
        <is>
          <t>Indomaret Buduk, Jl. Raya Buduk No.28, Buduk, Kec. Mengwi, Kabupaten Badung, Bali 80351</t>
        </is>
      </c>
      <c r="D11" s="8" t="inlineStr">
        <is>
          <t>KELAS 2</t>
        </is>
      </c>
      <c r="E11" s="8" t="inlineStr">
        <is>
          <t>2/2 UD</t>
        </is>
      </c>
      <c r="F11" s="8" t="n">
        <v>16.3</v>
      </c>
      <c r="G11" s="22" t="n">
        <v>9.390000000000001</v>
      </c>
      <c r="H11" s="22" t="n">
        <v>6.35</v>
      </c>
      <c r="I11" s="22" t="n"/>
      <c r="J11" s="22" t="n"/>
      <c r="K11" s="22" t="n"/>
      <c r="L11" s="8" t="n"/>
      <c r="AL11" t="inlineStr">
        <is>
          <t>KELAS III</t>
        </is>
      </c>
    </row>
    <row r="12" ht="29" customHeight="1">
      <c r="A12" s="86" t="inlineStr">
        <is>
          <t>C</t>
        </is>
      </c>
      <c r="B12" s="5" t="inlineStr">
        <is>
          <t>Sempidi</t>
        </is>
      </c>
      <c r="C12" s="22" t="inlineStr">
        <is>
          <t>Indomaret Sempidi, Jl. Raya Sempidi No.25, Sempidi, Mengwi, Badung Regency, Bali 80351</t>
        </is>
      </c>
      <c r="D12" s="8" t="inlineStr">
        <is>
          <t>KELAS 2</t>
        </is>
      </c>
      <c r="E12" s="8" t="inlineStr">
        <is>
          <t>2/2 UD</t>
        </is>
      </c>
      <c r="F12" s="8" t="n">
        <v>8.31</v>
      </c>
      <c r="G12" s="22" t="n">
        <v>3.6</v>
      </c>
      <c r="H12" s="22" t="n">
        <v>4.7</v>
      </c>
      <c r="I12" s="22" t="n"/>
      <c r="J12" s="22" t="n"/>
      <c r="K12" s="22" t="n"/>
      <c r="L12" s="8" t="n"/>
      <c r="AL12" t="inlineStr">
        <is>
          <t>lebar</t>
        </is>
      </c>
      <c r="AM12">
        <f>2200/1000</f>
        <v/>
      </c>
      <c r="AN12" t="inlineStr">
        <is>
          <t>m</t>
        </is>
      </c>
    </row>
    <row r="13" ht="29" customHeight="1">
      <c r="A13" s="86" t="inlineStr">
        <is>
          <t>D</t>
        </is>
      </c>
      <c r="B13" s="5" t="inlineStr">
        <is>
          <t>Dalung</t>
        </is>
      </c>
      <c r="C13" s="22" t="inlineStr">
        <is>
          <t>Indomaret DALUNG, Jl. Raya Dalung No.91, Dalung, Kec. Kuta Utara, Kabupaten Badung, Bali 80351</t>
        </is>
      </c>
      <c r="D13" s="8" t="inlineStr">
        <is>
          <t>KELAS 3</t>
        </is>
      </c>
      <c r="E13" s="8" t="inlineStr">
        <is>
          <t>2/2 UD</t>
        </is>
      </c>
      <c r="F13" s="8" t="n">
        <v>5.22</v>
      </c>
      <c r="G13" s="22" t="n">
        <v>3.49</v>
      </c>
      <c r="H13" s="22" t="n">
        <v>2.61</v>
      </c>
      <c r="I13" s="22" t="n"/>
      <c r="J13" s="22" t="n"/>
      <c r="K13" s="22" t="n"/>
      <c r="L13" s="8" t="n"/>
    </row>
    <row r="14" ht="29" customHeight="1">
      <c r="A14" s="86" t="inlineStr">
        <is>
          <t>E</t>
        </is>
      </c>
      <c r="B14" s="5" t="inlineStr">
        <is>
          <t>Tibubeneng</t>
        </is>
      </c>
      <c r="C14" s="22" t="inlineStr">
        <is>
          <t>INDOMARET RAYA PADONAN 25, Jl. Raya Padonan No.25, Tibubeneng, Kec. Kuta Utara, Kabupaten Badung, Bali 80361</t>
        </is>
      </c>
      <c r="D14" s="8" t="inlineStr">
        <is>
          <t>KELAS 3</t>
        </is>
      </c>
      <c r="E14" s="24" t="inlineStr">
        <is>
          <t>2/2 UD</t>
        </is>
      </c>
      <c r="F14" s="8" t="n">
        <v>4.52</v>
      </c>
      <c r="G14" s="22" t="n">
        <v>2.53</v>
      </c>
      <c r="H14" s="22" t="n">
        <v>1.75</v>
      </c>
      <c r="I14" s="22" t="n"/>
      <c r="J14" s="22" t="n"/>
      <c r="K14" s="22" t="n"/>
      <c r="L14" s="8" t="n"/>
    </row>
    <row r="15" ht="29" customHeight="1">
      <c r="A15" s="86" t="inlineStr">
        <is>
          <t>F</t>
        </is>
      </c>
      <c r="B15" s="5" t="inlineStr">
        <is>
          <t>Berawa</t>
        </is>
      </c>
      <c r="C15" s="22" t="inlineStr">
        <is>
          <t>Indomaret, Jl. Pantai Berawa No.12, Tibubeneng, Kec. Kuta Utara, Kabupaten Badung, Bali 80361</t>
        </is>
      </c>
      <c r="D15" s="8" t="inlineStr">
        <is>
          <t>KELAS 3</t>
        </is>
      </c>
      <c r="E15" s="24" t="inlineStr">
        <is>
          <t>2/2 UD</t>
        </is>
      </c>
      <c r="F15" s="8" t="n">
        <v>5.1</v>
      </c>
      <c r="G15" s="22" t="n">
        <v>2.42</v>
      </c>
      <c r="H15" s="22" t="n">
        <v>2.68</v>
      </c>
      <c r="I15" s="22" t="n"/>
      <c r="J15" s="22" t="n"/>
      <c r="K15" s="22" t="n"/>
      <c r="L15" s="8" t="n"/>
      <c r="AM15" t="inlineStr">
        <is>
          <t>KELAS I</t>
        </is>
      </c>
      <c r="AN15" t="inlineStr">
        <is>
          <t>KELSA II</t>
        </is>
      </c>
      <c r="AO15" t="inlineStr">
        <is>
          <t xml:space="preserve">KELAS III </t>
        </is>
      </c>
      <c r="AP15" t="inlineStr">
        <is>
          <t>KELAS III LINGKUNGAN</t>
        </is>
      </c>
    </row>
    <row r="16" ht="29" customHeight="1">
      <c r="A16" s="86" t="inlineStr">
        <is>
          <t>G</t>
        </is>
      </c>
      <c r="B16" s="5" t="inlineStr">
        <is>
          <t>Batu Bolong</t>
        </is>
      </c>
      <c r="C16" s="22" t="inlineStr">
        <is>
          <t>INDOMARET BATU BOLONG 12, Jl. Pantai Batu Bolong No.12, Canggu, Kec. Kuta Utara, Kabupaten Badung, Bali 80361</t>
        </is>
      </c>
      <c r="D16" s="8" t="inlineStr">
        <is>
          <t>KELAS 3</t>
        </is>
      </c>
      <c r="E16" s="24" t="inlineStr">
        <is>
          <t>2/2 UD</t>
        </is>
      </c>
      <c r="F16" s="8" t="n">
        <v>5.97</v>
      </c>
      <c r="G16" s="22" t="n">
        <v>2.67</v>
      </c>
      <c r="H16" s="22" t="n">
        <v>3.26</v>
      </c>
      <c r="I16" s="22" t="n"/>
      <c r="J16" s="22" t="n"/>
      <c r="K16" s="22" t="n"/>
      <c r="L16" s="8" t="n"/>
      <c r="AL16" t="inlineStr">
        <is>
          <t>lebar jalur</t>
        </is>
      </c>
      <c r="AM16" t="n">
        <v>6.5</v>
      </c>
      <c r="AN16" t="n">
        <v>5.5</v>
      </c>
      <c r="AO16" t="n">
        <v>5.5</v>
      </c>
      <c r="AP16" t="n">
        <v>3.5</v>
      </c>
    </row>
    <row r="17" ht="29" customHeight="1">
      <c r="A17" s="86" t="inlineStr">
        <is>
          <t>H</t>
        </is>
      </c>
      <c r="B17" s="5" t="inlineStr">
        <is>
          <t>Pererenan</t>
        </is>
      </c>
      <c r="C17" s="22" t="inlineStr">
        <is>
          <t>Pererenan Beach Indomaret, 948M+WJC, Jl. Pantai Pererenan, Pererenan, Mengwi, Badung Regency, Bali 80351</t>
        </is>
      </c>
      <c r="D17" s="8" t="inlineStr">
        <is>
          <t>KELAS 3</t>
        </is>
      </c>
      <c r="E17" s="24" t="inlineStr">
        <is>
          <t>2/2 UD</t>
        </is>
      </c>
      <c r="F17" s="8" t="n">
        <v>4.52</v>
      </c>
      <c r="G17" s="22" t="n">
        <v>1.83</v>
      </c>
      <c r="H17" s="22" t="n">
        <v>2.46</v>
      </c>
      <c r="I17" s="22" t="n"/>
      <c r="J17" s="22" t="n"/>
      <c r="K17" s="22" t="n"/>
      <c r="L17" s="8" t="n"/>
    </row>
    <row r="18" ht="29" customHeight="1">
      <c r="A18" s="86" t="inlineStr">
        <is>
          <t>I</t>
        </is>
      </c>
      <c r="B18" s="5" t="inlineStr">
        <is>
          <t>Kerobokan</t>
        </is>
      </c>
      <c r="C18" s="22" t="inlineStr">
        <is>
          <t>Indomaret Raya Kerobokan, 956F+MM7, Kerobokan Kaja, Kec. Kuta Utara, Kabupaten Badung, Bali 80361</t>
        </is>
      </c>
      <c r="D18" s="8" t="inlineStr">
        <is>
          <t>KELAS 3</t>
        </is>
      </c>
      <c r="E18" s="24" t="inlineStr">
        <is>
          <t>2/2 UD</t>
        </is>
      </c>
      <c r="F18" s="8" t="n">
        <v>5.93</v>
      </c>
      <c r="G18" s="22" t="n">
        <v>2.94</v>
      </c>
      <c r="H18" s="22" t="n">
        <v>2.92</v>
      </c>
      <c r="I18" s="22" t="n"/>
      <c r="J18" s="22" t="n"/>
      <c r="K18" s="22" t="n"/>
      <c r="L18" s="8" t="n"/>
    </row>
    <row r="19" ht="29" customHeight="1">
      <c r="A19" s="86" t="inlineStr">
        <is>
          <t>J</t>
        </is>
      </c>
      <c r="B19" s="5" t="inlineStr">
        <is>
          <t>Umalas</t>
        </is>
      </c>
      <c r="C19" s="22" t="inlineStr">
        <is>
          <t>Indomaret - Umalas, Jl. Umalas II No.35, Kerobokan Kelod, Kuta Utara, Badung Regency, Bali 80361</t>
        </is>
      </c>
      <c r="D19" s="8" t="inlineStr">
        <is>
          <t>KELAS 3</t>
        </is>
      </c>
      <c r="E19" s="24" t="inlineStr">
        <is>
          <t>2/2 UD</t>
        </is>
      </c>
      <c r="F19" s="8" t="n">
        <v>4.26</v>
      </c>
      <c r="G19" s="22" t="n">
        <v>2.14</v>
      </c>
      <c r="H19" s="22" t="n">
        <v>2.22</v>
      </c>
      <c r="I19" s="22" t="n"/>
      <c r="J19" s="22" t="n"/>
      <c r="K19" s="22" t="n"/>
      <c r="L19" s="8" t="n"/>
    </row>
    <row r="20" ht="29" customHeight="1">
      <c r="A20" s="86" t="inlineStr">
        <is>
          <t>K</t>
        </is>
      </c>
      <c r="B20" s="5" t="inlineStr">
        <is>
          <t>Nakula</t>
        </is>
      </c>
      <c r="C20" s="22" t="inlineStr">
        <is>
          <t>INDOMARET NAKULA 73, Jl. Nakula No.73, Legian, Kec. Kuta, Kabupaten Badung, Bali 80361</t>
        </is>
      </c>
      <c r="D20" s="8" t="inlineStr">
        <is>
          <t>KELAS 2</t>
        </is>
      </c>
      <c r="E20" s="8" t="inlineStr">
        <is>
          <t>4/2 UD</t>
        </is>
      </c>
      <c r="F20" s="8" t="n">
        <v>10.1</v>
      </c>
      <c r="G20" s="22" t="n">
        <v>1.85</v>
      </c>
      <c r="H20" s="22" t="n">
        <v>2.44</v>
      </c>
      <c r="I20" s="22" t="n">
        <v>2.86</v>
      </c>
      <c r="J20" s="22" t="n">
        <v>2.54</v>
      </c>
      <c r="K20" s="22" t="n"/>
      <c r="L20" s="8" t="n"/>
    </row>
    <row r="21" ht="29" customHeight="1">
      <c r="A21" s="86" t="inlineStr">
        <is>
          <t>L</t>
        </is>
      </c>
      <c r="B21" s="5" t="inlineStr">
        <is>
          <t>Dewi Sri</t>
        </is>
      </c>
      <c r="C21" s="22" t="inlineStr">
        <is>
          <t>Indomaret Dewi Sri 18 V, Jalan Dewi Sri, Legian, Badung Regency, Bali</t>
        </is>
      </c>
      <c r="D21" s="8" t="inlineStr">
        <is>
          <t>KELAS 2</t>
        </is>
      </c>
      <c r="E21" s="8" t="inlineStr">
        <is>
          <t>2/2 UD</t>
        </is>
      </c>
      <c r="F21" s="8" t="n">
        <v>11.5</v>
      </c>
      <c r="G21" s="22" t="n">
        <v>4.97</v>
      </c>
      <c r="H21" s="22" t="n">
        <v>6.77</v>
      </c>
      <c r="I21" s="22" t="n"/>
      <c r="J21" s="22" t="n"/>
      <c r="K21" s="22" t="n"/>
      <c r="L21" s="8" t="n"/>
    </row>
    <row r="22" ht="29" customHeight="1">
      <c r="A22" s="86" t="inlineStr">
        <is>
          <t>M</t>
        </is>
      </c>
      <c r="B22" s="5" t="inlineStr">
        <is>
          <t>Kuta</t>
        </is>
      </c>
      <c r="C22" s="22" t="inlineStr">
        <is>
          <t>Indomaret Kuta, Jl. Raya Kuta No.83E, Kuta, Kec. Kuta, Kabupaten Badung, Bali 80361</t>
        </is>
      </c>
      <c r="D22" s="8" t="inlineStr">
        <is>
          <t>KELAS 2</t>
        </is>
      </c>
      <c r="E22" s="8" t="inlineStr">
        <is>
          <t>2/2 UD</t>
        </is>
      </c>
      <c r="F22" s="8" t="n">
        <v>9.359999999999999</v>
      </c>
      <c r="G22" s="22" t="n">
        <v>5.1</v>
      </c>
      <c r="H22" s="22" t="n">
        <v>4.34</v>
      </c>
      <c r="I22" s="22" t="n"/>
      <c r="J22" s="22" t="n"/>
      <c r="K22" s="22" t="n"/>
      <c r="L22" s="8" t="n"/>
    </row>
    <row r="23" ht="29" customHeight="1">
      <c r="A23" s="86" t="inlineStr">
        <is>
          <t>N</t>
        </is>
      </c>
      <c r="B23" s="5" t="inlineStr">
        <is>
          <t>Sunset Road</t>
        </is>
      </c>
      <c r="C23" s="22" t="inlineStr">
        <is>
          <t>Indomaret Sunset Road 37, Jl. Sunset Road No.139, Kuta, Badung Regency, Bali 80361</t>
        </is>
      </c>
      <c r="D23" s="8" t="inlineStr">
        <is>
          <t>KELAS 1</t>
        </is>
      </c>
      <c r="E23" s="8" t="inlineStr">
        <is>
          <t>6/2 D</t>
        </is>
      </c>
      <c r="F23" s="8" t="n">
        <v>18.93</v>
      </c>
      <c r="G23" s="22" t="n">
        <v>2.16</v>
      </c>
      <c r="H23" s="22" t="n">
        <v>3.2</v>
      </c>
      <c r="I23" s="22" t="n">
        <v>2.81</v>
      </c>
      <c r="J23" s="22" t="n">
        <v>4.72</v>
      </c>
      <c r="K23" s="22" t="n">
        <v>3.45</v>
      </c>
      <c r="L23" s="22" t="n">
        <v>2.63</v>
      </c>
    </row>
    <row r="24" ht="29" customHeight="1">
      <c r="A24" s="86" t="inlineStr">
        <is>
          <t>O</t>
        </is>
      </c>
      <c r="B24" s="5" t="inlineStr">
        <is>
          <t>Seminyak</t>
        </is>
      </c>
      <c r="C24" s="22" t="inlineStr">
        <is>
          <t>indomaret, Jl. Dewi Saraswati II No.101, Seminyak, Kec. Kuta, Kabupaten Badung, Bali 80361</t>
        </is>
      </c>
      <c r="D24" s="8" t="inlineStr">
        <is>
          <t>KELAS 1</t>
        </is>
      </c>
      <c r="E24" s="8" t="inlineStr">
        <is>
          <t>6/2 D</t>
        </is>
      </c>
      <c r="F24" s="8" t="n">
        <v>21.35</v>
      </c>
      <c r="G24" s="22" t="n">
        <v>1.64</v>
      </c>
      <c r="H24" s="22" t="n">
        <v>3.67</v>
      </c>
      <c r="I24" s="22" t="n">
        <v>3.9</v>
      </c>
      <c r="J24" s="22" t="n">
        <v>4.52</v>
      </c>
      <c r="K24" s="22" t="n">
        <v>3.78</v>
      </c>
      <c r="L24" s="22" t="n">
        <v>3.2</v>
      </c>
    </row>
    <row r="25" ht="29" customHeight="1">
      <c r="A25" s="86" t="inlineStr">
        <is>
          <t>P</t>
        </is>
      </c>
      <c r="B25" s="5" t="inlineStr">
        <is>
          <t>Jimbaran</t>
        </is>
      </c>
      <c r="C25" s="22" t="inlineStr">
        <is>
          <t>Indomaret, Uluwatu St No.12, Jimbaran, South Kuta, Badung Regency, Bali 80361</t>
        </is>
      </c>
      <c r="D25" s="8" t="inlineStr">
        <is>
          <t>KELAS 3</t>
        </is>
      </c>
      <c r="E25" s="8" t="inlineStr">
        <is>
          <t>2/2 UD</t>
        </is>
      </c>
      <c r="F25" s="8" t="n">
        <v>6.46</v>
      </c>
      <c r="G25" s="22" t="n">
        <v>3.27</v>
      </c>
      <c r="H25" s="22" t="n">
        <v>3.37</v>
      </c>
      <c r="I25" s="22" t="n"/>
      <c r="J25" s="22" t="n"/>
      <c r="K25" s="22" t="n"/>
      <c r="L25" s="8" t="n"/>
    </row>
    <row r="26" ht="29" customHeight="1">
      <c r="A26" s="86" t="inlineStr">
        <is>
          <t>Q</t>
        </is>
      </c>
      <c r="B26" s="5" t="inlineStr">
        <is>
          <t>Nusa Dua</t>
        </is>
      </c>
      <c r="C26" s="22" t="inlineStr">
        <is>
          <t>Indomaret Bypass Nusa Dua 4, Jl. Bypass Ngurah Rai No.184, Benoa, South Kuta, Badung Regency, Bali 80361</t>
        </is>
      </c>
      <c r="D26" s="8" t="inlineStr">
        <is>
          <t>KELAS 1</t>
        </is>
      </c>
      <c r="E26" s="8" t="inlineStr">
        <is>
          <t>4/2 D</t>
        </is>
      </c>
      <c r="F26" s="8" t="n">
        <v>13.93</v>
      </c>
      <c r="G26" s="22" t="n">
        <v>3.1</v>
      </c>
      <c r="H26" s="22" t="n">
        <v>3.52</v>
      </c>
      <c r="I26" s="22" t="n">
        <v>4.44</v>
      </c>
      <c r="J26" s="22" t="n">
        <v>2.89</v>
      </c>
      <c r="K26" s="22" t="n"/>
      <c r="L26" s="8" t="n"/>
    </row>
    <row r="27" ht="29" customHeight="1">
      <c r="A27" s="86" t="inlineStr">
        <is>
          <t>R</t>
        </is>
      </c>
      <c r="B27" s="5" t="inlineStr">
        <is>
          <t>Benoa</t>
        </is>
      </c>
      <c r="C27" s="22" t="inlineStr">
        <is>
          <t>Indomaret Tanjung Benoa, Jl. Pratama No.99, Benoa, Kec. Kuta Sel., Kabupaten Badung, Bali 80361</t>
        </is>
      </c>
      <c r="D27" s="8" t="inlineStr">
        <is>
          <t>KELAS 3</t>
        </is>
      </c>
      <c r="E27" s="8" t="inlineStr">
        <is>
          <t>2/2 UD</t>
        </is>
      </c>
      <c r="F27" s="8" t="n">
        <v>6.84</v>
      </c>
      <c r="G27" s="22" t="n">
        <v>3.66</v>
      </c>
      <c r="H27" s="22" t="n">
        <v>3.28</v>
      </c>
      <c r="I27" s="22" t="n"/>
      <c r="J27" s="22" t="n"/>
      <c r="K27" s="22" t="n"/>
      <c r="L27" s="8" t="n"/>
    </row>
    <row r="28" ht="29" customHeight="1">
      <c r="A28" s="86" t="inlineStr">
        <is>
          <t>S</t>
        </is>
      </c>
      <c r="B28" s="5" t="inlineStr">
        <is>
          <t>Ungasan</t>
        </is>
      </c>
      <c r="C28" s="22" t="inlineStr">
        <is>
          <t>Indomaret Uluwatu Ungasan, 6526+362, Jl. Raya Uluwatu, Jimbaran, Kec. Kuta Sel., Kabupaten Badung, Bali 80361</t>
        </is>
      </c>
      <c r="D28" s="8" t="inlineStr">
        <is>
          <t>KELAS 3</t>
        </is>
      </c>
      <c r="E28" s="8" t="inlineStr">
        <is>
          <t>2/2 UD</t>
        </is>
      </c>
      <c r="F28" s="8" t="n">
        <v>6.1</v>
      </c>
      <c r="G28" s="22" t="n">
        <v>3.1</v>
      </c>
      <c r="H28" s="22" t="n">
        <v>2.95</v>
      </c>
      <c r="I28" s="22" t="n"/>
      <c r="J28" s="22" t="n"/>
      <c r="K28" s="22" t="n"/>
      <c r="L28" s="8" t="n"/>
    </row>
    <row r="29" ht="29" customHeight="1">
      <c r="A29" s="86" t="inlineStr">
        <is>
          <t>T</t>
        </is>
      </c>
      <c r="B29" s="5" t="inlineStr">
        <is>
          <t>Pecatu</t>
        </is>
      </c>
      <c r="C29" s="22" t="inlineStr">
        <is>
          <t>Indomaret Pecatu, Jl. Raya Uluwatu Pecatu No.98, Pecatu, South Kuta, Badung Regency, Bali 80361</t>
        </is>
      </c>
      <c r="D29" s="8" t="inlineStr">
        <is>
          <t>KELAS 3</t>
        </is>
      </c>
      <c r="E29" s="8" t="inlineStr">
        <is>
          <t>2/2 UD</t>
        </is>
      </c>
      <c r="F29" s="8" t="n">
        <v>5.66</v>
      </c>
      <c r="G29" s="22" t="n">
        <v>2.88</v>
      </c>
      <c r="H29" s="22" t="n">
        <v>2.84</v>
      </c>
      <c r="I29" s="22" t="n"/>
      <c r="J29" s="22" t="n"/>
      <c r="K29" s="22" t="n"/>
      <c r="L29" s="8" t="n"/>
    </row>
    <row r="30" ht="29" customHeight="1">
      <c r="A30" s="86" t="inlineStr">
        <is>
          <t>U</t>
        </is>
      </c>
      <c r="B30" s="5" t="inlineStr">
        <is>
          <t>Teuku Umar</t>
        </is>
      </c>
      <c r="C30" s="22" t="inlineStr">
        <is>
          <t>Indomaret Point Teuku Umar, Jl. Teuku Umar No.85 X, Pedungan, Denpasar Barat, Denpasar City, Bali 80222</t>
        </is>
      </c>
      <c r="D30" s="8" t="inlineStr">
        <is>
          <t>KELAS 1</t>
        </is>
      </c>
      <c r="E30" s="8" t="inlineStr">
        <is>
          <t>2/2 UD</t>
        </is>
      </c>
      <c r="F30" s="8" t="n">
        <v>15.54</v>
      </c>
      <c r="G30" s="22" t="n">
        <v>1.33</v>
      </c>
      <c r="H30" s="22" t="n">
        <v>6.27</v>
      </c>
      <c r="I30" s="22" t="n">
        <v>6.4</v>
      </c>
      <c r="J30" s="22" t="n">
        <v>1.23</v>
      </c>
      <c r="K30" s="22" t="n"/>
      <c r="L30" s="8" t="n"/>
    </row>
    <row r="31" ht="43.5" customHeight="1">
      <c r="A31" s="86" t="inlineStr">
        <is>
          <t>V</t>
        </is>
      </c>
      <c r="B31" s="5" t="inlineStr">
        <is>
          <t>Gatsu</t>
        </is>
      </c>
      <c r="C31" s="22" t="inlineStr">
        <is>
          <t>Indomaret Gatsu Barat, Jl. Gatot Subroto Barat No.168, Padangsambian Kaja, Kec. Denpasar Bar., Kota Denpasar, Bali 80117</t>
        </is>
      </c>
      <c r="D31" s="8" t="inlineStr">
        <is>
          <t>KELAS 1</t>
        </is>
      </c>
      <c r="E31" s="8" t="inlineStr">
        <is>
          <t>4/2 UD</t>
        </is>
      </c>
      <c r="F31" s="8" t="n">
        <v>14.77</v>
      </c>
      <c r="G31" s="22" t="n">
        <v>4.56</v>
      </c>
      <c r="H31" s="22" t="n">
        <v>3.6</v>
      </c>
      <c r="I31" s="22" t="n">
        <v>3.15</v>
      </c>
      <c r="J31" s="22" t="n">
        <v>3.84</v>
      </c>
      <c r="K31" s="22" t="n"/>
      <c r="L31" s="8" t="n"/>
    </row>
    <row r="32" ht="29" customHeight="1">
      <c r="A32" s="86" t="inlineStr">
        <is>
          <t>W</t>
        </is>
      </c>
      <c r="B32" s="5" t="inlineStr">
        <is>
          <t>Sanur</t>
        </is>
      </c>
      <c r="C32" s="22" t="inlineStr">
        <is>
          <t>Indomaret By Pass Sanur 192, Jl. Bypass Ngurah Rai No.192, Sanur Kaja, Denpasar Selatan, Kota Denpasar, Bali 80227</t>
        </is>
      </c>
      <c r="D32" s="8" t="inlineStr">
        <is>
          <t>KELAS 1</t>
        </is>
      </c>
      <c r="E32" s="8" t="inlineStr">
        <is>
          <t>6/2 D</t>
        </is>
      </c>
      <c r="F32" s="8" t="n">
        <v>21</v>
      </c>
      <c r="G32" s="22" t="n">
        <v>2.99</v>
      </c>
      <c r="H32" s="22" t="n">
        <v>3.87</v>
      </c>
      <c r="I32" s="22" t="n">
        <v>3.52</v>
      </c>
      <c r="J32" s="22" t="n">
        <v>4.59</v>
      </c>
      <c r="K32" s="22" t="n">
        <v>2.49</v>
      </c>
      <c r="L32" s="22" t="n">
        <v>3.52</v>
      </c>
    </row>
    <row r="33" ht="29" customHeight="1">
      <c r="A33" s="86" t="inlineStr">
        <is>
          <t>X</t>
        </is>
      </c>
      <c r="B33" s="5" t="inlineStr">
        <is>
          <t>Renon</t>
        </is>
      </c>
      <c r="C33" s="22" t="inlineStr">
        <is>
          <t>Indomaret Renon, Jl. Tukad Balian No.100, Renon, Denpasar Selatan, Denpasar City, Bali 80226</t>
        </is>
      </c>
      <c r="D33" s="8" t="inlineStr">
        <is>
          <t>KELAS 3</t>
        </is>
      </c>
      <c r="E33" s="8" t="inlineStr">
        <is>
          <t>2/2 UD</t>
        </is>
      </c>
      <c r="F33" s="8" t="n">
        <v>5.39</v>
      </c>
      <c r="G33" s="22" t="n">
        <v>2.64</v>
      </c>
      <c r="H33" s="22" t="n">
        <v>2.63</v>
      </c>
      <c r="I33" s="22" t="n"/>
      <c r="J33" s="22" t="n"/>
      <c r="K33" s="22" t="n"/>
      <c r="L33" s="8" t="n"/>
    </row>
    <row r="34" ht="29" customHeight="1">
      <c r="A34" s="86" t="inlineStr">
        <is>
          <t>Y</t>
        </is>
      </c>
      <c r="B34" s="5" t="inlineStr">
        <is>
          <t>Sesetan</t>
        </is>
      </c>
      <c r="C34" s="22" t="inlineStr">
        <is>
          <t>Indomaret Sesetan 2, Jl. Raya Sesetan No.182, Sesetan, Denpasar Selatan, Denpasar City, Bali 80225</t>
        </is>
      </c>
      <c r="D34" s="8" t="inlineStr">
        <is>
          <t>KELAS 2</t>
        </is>
      </c>
      <c r="E34" s="8" t="inlineStr">
        <is>
          <t>2/2 UD</t>
        </is>
      </c>
      <c r="F34" s="8" t="n">
        <v>9.359999999999999</v>
      </c>
      <c r="G34" s="22" t="n">
        <v>4.87</v>
      </c>
      <c r="H34" s="22" t="n">
        <v>4.62</v>
      </c>
      <c r="I34" s="22" t="n"/>
      <c r="J34" s="22" t="n"/>
      <c r="K34" s="22" t="n"/>
      <c r="L34" s="8" t="n"/>
    </row>
  </sheetData>
  <mergeCells count="1">
    <mergeCell ref="A1:L5"/>
  </mergeCells>
  <hyperlinks>
    <hyperlink xmlns:r="http://schemas.openxmlformats.org/officeDocument/2006/relationships" ref="C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70"/>
  <sheetViews>
    <sheetView topLeftCell="D4" zoomScale="63" zoomScaleNormal="55" workbookViewId="0">
      <selection activeCell="N9" sqref="N9"/>
    </sheetView>
  </sheetViews>
  <sheetFormatPr baseColWidth="8" defaultRowHeight="14.5"/>
  <cols>
    <col width="17.81640625" customWidth="1" min="3" max="3"/>
    <col width="13.54296875" customWidth="1" min="4" max="4"/>
    <col width="12.08984375" customWidth="1" min="11" max="11"/>
    <col width="16.54296875" customWidth="1" min="13" max="13"/>
    <col width="18.1796875" customWidth="1" min="14" max="14"/>
    <col width="16.08984375" customWidth="1" min="18" max="18"/>
    <col width="10.36328125" customWidth="1" min="19" max="19"/>
    <col width="15" customWidth="1" min="21" max="21"/>
  </cols>
  <sheetData>
    <row r="2">
      <c r="G2" s="87" t="inlineStr">
        <is>
          <t>CDD (COLT DIESEL DOUBLE)</t>
        </is>
      </c>
      <c r="H2" s="136" t="n"/>
      <c r="I2" s="137" t="n"/>
    </row>
    <row r="3">
      <c r="G3" s="87" t="inlineStr">
        <is>
          <t>5 TON</t>
        </is>
      </c>
      <c r="H3" s="136" t="n"/>
      <c r="I3" s="137" t="n"/>
    </row>
    <row r="4">
      <c r="K4" s="8" t="inlineStr">
        <is>
          <t>TRUK</t>
        </is>
      </c>
      <c r="L4" s="8" t="n">
        <v>2</v>
      </c>
    </row>
    <row r="5">
      <c r="K5" s="8" t="inlineStr">
        <is>
          <t>KAPASITAS</t>
        </is>
      </c>
      <c r="L5" s="8" t="n">
        <v>5000</v>
      </c>
    </row>
    <row r="7">
      <c r="K7" s="8" t="inlineStr">
        <is>
          <t>RUTE</t>
        </is>
      </c>
      <c r="L7" s="8" t="inlineStr">
        <is>
          <t>TRUK</t>
        </is>
      </c>
      <c r="M7" s="8" t="inlineStr">
        <is>
          <t>RUTE TIAP TRUK</t>
        </is>
      </c>
      <c r="N7" s="8" t="inlineStr">
        <is>
          <t>JARAK</t>
        </is>
      </c>
      <c r="O7" s="8" t="inlineStr">
        <is>
          <t>ORDER</t>
        </is>
      </c>
      <c r="R7" s="87" t="inlineStr">
        <is>
          <t>TOTAL DISTANCE</t>
        </is>
      </c>
      <c r="S7" s="8" t="n"/>
      <c r="U7" s="88" t="inlineStr">
        <is>
          <t>TOTAL LOAD</t>
        </is>
      </c>
      <c r="V7" s="8" t="n"/>
    </row>
    <row r="8">
      <c r="K8" s="5" t="n">
        <v>0</v>
      </c>
      <c r="L8" s="8" t="n"/>
      <c r="M8" s="8" t="n">
        <v>0</v>
      </c>
      <c r="N8" s="8" t="n"/>
      <c r="O8" s="8" t="n"/>
      <c r="R8" s="135" t="n"/>
      <c r="S8" s="8">
        <f>N34</f>
        <v/>
      </c>
      <c r="U8" s="135" t="n"/>
      <c r="V8" s="8">
        <f>O34</f>
        <v/>
      </c>
    </row>
    <row r="9">
      <c r="J9" s="5" t="inlineStr">
        <is>
          <t>A</t>
        </is>
      </c>
      <c r="K9" s="5" t="n">
        <v>1</v>
      </c>
      <c r="L9" s="8" t="n">
        <v>2</v>
      </c>
      <c r="M9" s="8">
        <f>IF($L$4=L9,K9,$M$8)</f>
        <v/>
      </c>
      <c r="N9" s="8">
        <f t="array" ref="N9">INDEX($B$45:$AA$70,M8+1,M9+1)</f>
        <v/>
      </c>
      <c r="O9" s="8">
        <f>IF(L9=$L$4,VLOOKUP(K9,$B$16:$D$40,3,FALSE),0)</f>
        <v/>
      </c>
      <c r="R9" s="8" t="n">
        <v>1</v>
      </c>
      <c r="S9" s="8">
        <f t="dataTable" ref="S9:S11" dt2D="0" dtr="0" r1="L4"/>
        <v/>
      </c>
      <c r="U9" s="8" t="n">
        <v>1</v>
      </c>
      <c r="V9" s="8">
        <f t="dataTable" ref="V9:V11" dt2D="0" dtr="0" r1="L4"/>
        <v/>
      </c>
    </row>
    <row r="10">
      <c r="J10" s="5" t="inlineStr">
        <is>
          <t>B</t>
        </is>
      </c>
      <c r="K10" s="5" t="n">
        <v>2</v>
      </c>
      <c r="L10" s="8" t="n">
        <v>2</v>
      </c>
      <c r="M10" s="8">
        <f>IF($L$4=L10,K10,$M$8)</f>
        <v/>
      </c>
      <c r="N10" s="8">
        <f t="array" ref="N10">INDEX($B$45:$AA$70,M9+1,M10+1)</f>
        <v/>
      </c>
      <c r="O10" s="8">
        <f>IF(L10=$L$4,VLOOKUP(K10,$B$16:$D$40,3,FALSE),0)</f>
        <v/>
      </c>
      <c r="R10" s="8" t="n">
        <v>2</v>
      </c>
      <c r="S10" s="8" t="n">
        <v>159</v>
      </c>
      <c r="U10" s="8" t="n">
        <v>2</v>
      </c>
      <c r="V10" s="8" t="n">
        <v>3670</v>
      </c>
    </row>
    <row r="11">
      <c r="J11" s="5" t="inlineStr">
        <is>
          <t>C</t>
        </is>
      </c>
      <c r="K11" s="5" t="n">
        <v>3</v>
      </c>
      <c r="L11" s="8" t="n">
        <v>2</v>
      </c>
      <c r="M11" s="8">
        <f>IF($L$4=L11,K11,$M$8)</f>
        <v/>
      </c>
      <c r="N11" s="8">
        <f t="array" ref="N11">INDEX($B$45:$AA$70,M10+1,M11+1)</f>
        <v/>
      </c>
      <c r="O11" s="8">
        <f>IF(L11=$L$4,VLOOKUP(K11,$B$16:$D$40,3,FALSE),0)</f>
        <v/>
      </c>
      <c r="R11" s="8" t="n">
        <v>3</v>
      </c>
      <c r="S11" s="8" t="n">
        <v>67.09999999999999</v>
      </c>
      <c r="U11" s="8" t="n">
        <v>3</v>
      </c>
      <c r="V11" s="8" t="n">
        <v>3670</v>
      </c>
    </row>
    <row r="12">
      <c r="J12" s="5" t="inlineStr">
        <is>
          <t>D</t>
        </is>
      </c>
      <c r="K12" s="5" t="n">
        <v>4</v>
      </c>
      <c r="L12" s="8" t="n">
        <v>1</v>
      </c>
      <c r="M12" s="8">
        <f>IF($L$4=L12,K12,$M$8)</f>
        <v/>
      </c>
      <c r="N12" s="8">
        <f t="array" ref="N12">INDEX($B$45:$AA$70,M11+1,M12+1)</f>
        <v/>
      </c>
      <c r="O12" s="8">
        <f>IF(L12=$L$4,VLOOKUP(K12,$B$16:$D$40,3,FALSE),0)</f>
        <v/>
      </c>
    </row>
    <row r="13">
      <c r="J13" s="5" t="inlineStr">
        <is>
          <t>E</t>
        </is>
      </c>
      <c r="K13" s="5" t="n">
        <v>5</v>
      </c>
      <c r="L13" s="8" t="n">
        <v>1</v>
      </c>
      <c r="M13" s="8">
        <f>IF($L$4=L13,K13,$M$8)</f>
        <v/>
      </c>
      <c r="N13" s="8">
        <f t="array" ref="N13">INDEX($B$45:$AA$70,M12+1,M13+1)</f>
        <v/>
      </c>
      <c r="O13" s="8">
        <f>IF(L13=$L$4,VLOOKUP(K13,$B$16:$D$40,3,FALSE),0)</f>
        <v/>
      </c>
    </row>
    <row r="14" ht="29" customHeight="1">
      <c r="A14" s="4" t="inlineStr">
        <is>
          <t>Kode</t>
        </is>
      </c>
      <c r="B14" s="4" t="inlineStr">
        <is>
          <t>Kode</t>
        </is>
      </c>
      <c r="C14" s="4" t="inlineStr">
        <is>
          <t>Lokasi</t>
        </is>
      </c>
      <c r="D14" s="4" t="inlineStr">
        <is>
          <t>Permintaan (kg)</t>
        </is>
      </c>
      <c r="J14" s="5" t="inlineStr">
        <is>
          <t>F</t>
        </is>
      </c>
      <c r="K14" s="5" t="n">
        <v>6</v>
      </c>
      <c r="L14" s="8" t="n">
        <v>1</v>
      </c>
      <c r="M14" s="8">
        <f>IF($L$4=L14,K14,$M$8)</f>
        <v/>
      </c>
      <c r="N14" s="8">
        <f t="array" ref="N14">INDEX($B$45:$AA$70,M13+1,M14+1)</f>
        <v/>
      </c>
      <c r="O14" s="8">
        <f>IF(L14=$L$4,VLOOKUP(K14,$B$16:$D$40,3,FALSE),0)</f>
        <v/>
      </c>
    </row>
    <row r="15">
      <c r="A15" s="8" t="n"/>
      <c r="B15" s="5" t="n">
        <v>0</v>
      </c>
      <c r="C15" s="5" t="inlineStr">
        <is>
          <t>Gudang</t>
        </is>
      </c>
      <c r="D15" s="5" t="n">
        <v>0</v>
      </c>
      <c r="J15" s="5" t="inlineStr">
        <is>
          <t>G</t>
        </is>
      </c>
      <c r="K15" s="5" t="n">
        <v>7</v>
      </c>
      <c r="L15" s="8" t="n">
        <v>1</v>
      </c>
      <c r="M15" s="8">
        <f>IF($L$4=L15,K15,$M$8)</f>
        <v/>
      </c>
      <c r="N15" s="8">
        <f t="array" ref="N15">INDEX($B$45:$AA$70,M14+1,M15+1)</f>
        <v/>
      </c>
      <c r="O15" s="8">
        <f>IF(L15=$L$4,VLOOKUP(K15,$B$16:$D$40,3,FALSE),0)</f>
        <v/>
      </c>
    </row>
    <row r="16">
      <c r="A16" s="5" t="inlineStr">
        <is>
          <t>A</t>
        </is>
      </c>
      <c r="B16" s="5" t="n">
        <v>1</v>
      </c>
      <c r="C16" s="5" t="inlineStr">
        <is>
          <t>Mengwi</t>
        </is>
      </c>
      <c r="D16" s="5" t="n">
        <v>350</v>
      </c>
      <c r="J16" s="5" t="inlineStr">
        <is>
          <t>H</t>
        </is>
      </c>
      <c r="K16" s="5" t="n">
        <v>8</v>
      </c>
      <c r="L16" s="8" t="n">
        <v>1</v>
      </c>
      <c r="M16" s="8">
        <f>IF($L$4=L16,K16,$M$8)</f>
        <v/>
      </c>
      <c r="N16" s="8">
        <f t="array" ref="N16">INDEX($B$45:$AA$70,M15+1,M16+1)</f>
        <v/>
      </c>
      <c r="O16" s="8">
        <f>IF(L16=$L$4,VLOOKUP(K16,$B$16:$D$40,3,FALSE),0)</f>
        <v/>
      </c>
    </row>
    <row r="17">
      <c r="A17" s="5" t="inlineStr">
        <is>
          <t>B</t>
        </is>
      </c>
      <c r="B17" s="5" t="n">
        <v>2</v>
      </c>
      <c r="C17" s="5" t="inlineStr">
        <is>
          <t>Buduk</t>
        </is>
      </c>
      <c r="D17" s="5" t="n">
        <v>280</v>
      </c>
      <c r="J17" s="5" t="inlineStr">
        <is>
          <t>I</t>
        </is>
      </c>
      <c r="K17" s="5" t="n">
        <v>9</v>
      </c>
      <c r="L17" s="8" t="n">
        <v>1</v>
      </c>
      <c r="M17" s="8">
        <f>IF($L$4=L17,K17,$M$8)</f>
        <v/>
      </c>
      <c r="N17" s="8">
        <f t="array" ref="N17">INDEX($B$45:$AA$70,M16+1,M17+1)</f>
        <v/>
      </c>
      <c r="O17" s="8">
        <f>IF(L17=$L$4,VLOOKUP(K17,$B$16:$D$40,3,FALSE),0)</f>
        <v/>
      </c>
    </row>
    <row r="18">
      <c r="A18" s="5" t="inlineStr">
        <is>
          <t>C</t>
        </is>
      </c>
      <c r="B18" s="5" t="n">
        <v>3</v>
      </c>
      <c r="C18" s="5" t="inlineStr">
        <is>
          <t>Sempidi</t>
        </is>
      </c>
      <c r="D18" s="5" t="n">
        <v>320</v>
      </c>
      <c r="J18" s="5" t="inlineStr">
        <is>
          <t>J</t>
        </is>
      </c>
      <c r="K18" s="5" t="n">
        <v>10</v>
      </c>
      <c r="L18" s="8" t="n">
        <v>3</v>
      </c>
      <c r="M18" s="8">
        <f>IF($L$4=L18,K18,$M$8)</f>
        <v/>
      </c>
      <c r="N18" s="8">
        <f t="array" ref="N18">INDEX($B$45:$AA$70,M17+1,M18+1)</f>
        <v/>
      </c>
      <c r="O18" s="8">
        <f>IF(L18=$L$4,VLOOKUP(K18,$B$16:$D$40,3,FALSE),0)</f>
        <v/>
      </c>
    </row>
    <row r="19">
      <c r="A19" s="5" t="inlineStr">
        <is>
          <t>D</t>
        </is>
      </c>
      <c r="B19" s="5" t="n">
        <v>4</v>
      </c>
      <c r="C19" s="5" t="inlineStr">
        <is>
          <t>Dalung</t>
        </is>
      </c>
      <c r="D19" s="5" t="n">
        <v>400</v>
      </c>
      <c r="J19" s="5" t="inlineStr">
        <is>
          <t>K</t>
        </is>
      </c>
      <c r="K19" s="5" t="n">
        <v>11</v>
      </c>
      <c r="L19" s="8" t="n">
        <v>3</v>
      </c>
      <c r="M19" s="8">
        <f>IF($L$4=L19,K19,$M$8)</f>
        <v/>
      </c>
      <c r="N19" s="8">
        <f t="array" ref="N19">INDEX($B$45:$AA$70,M18+1,M19+1)</f>
        <v/>
      </c>
      <c r="O19" s="8">
        <f>IF(L19=$L$4,VLOOKUP(K19,$B$16:$D$40,3,FALSE),0)</f>
        <v/>
      </c>
    </row>
    <row r="20">
      <c r="A20" s="5" t="inlineStr">
        <is>
          <t>E</t>
        </is>
      </c>
      <c r="B20" s="5" t="n">
        <v>5</v>
      </c>
      <c r="C20" s="5" t="inlineStr">
        <is>
          <t>Tibubeneng</t>
        </is>
      </c>
      <c r="D20" s="5" t="n">
        <v>450</v>
      </c>
      <c r="J20" s="5" t="inlineStr">
        <is>
          <t>L</t>
        </is>
      </c>
      <c r="K20" s="5" t="n">
        <v>12</v>
      </c>
      <c r="L20" s="8" t="n">
        <v>3</v>
      </c>
      <c r="M20" s="8">
        <f>IF($L$4=L20,K20,$M$8)</f>
        <v/>
      </c>
      <c r="N20" s="8">
        <f t="array" ref="N20">INDEX($B$45:$AA$70,M19+1,M20+1)</f>
        <v/>
      </c>
      <c r="O20" s="8">
        <f>IF(L20=$L$4,VLOOKUP(K20,$B$16:$D$40,3,FALSE),0)</f>
        <v/>
      </c>
    </row>
    <row r="21">
      <c r="A21" s="5" t="inlineStr">
        <is>
          <t>F</t>
        </is>
      </c>
      <c r="B21" s="5" t="n">
        <v>6</v>
      </c>
      <c r="C21" s="5" t="inlineStr">
        <is>
          <t>Berawa</t>
        </is>
      </c>
      <c r="D21" s="5" t="n">
        <v>500</v>
      </c>
      <c r="J21" s="5" t="inlineStr">
        <is>
          <t>M</t>
        </is>
      </c>
      <c r="K21" s="5" t="n">
        <v>13</v>
      </c>
      <c r="L21" s="8" t="n">
        <v>3</v>
      </c>
      <c r="M21" s="8">
        <f>IF($L$4=L21,K21,$M$8)</f>
        <v/>
      </c>
      <c r="N21" s="8">
        <f t="array" ref="N21">INDEX($B$45:$AA$70,M20+1,M21+1)</f>
        <v/>
      </c>
      <c r="O21" s="8">
        <f>IF(L21=$L$4,VLOOKUP(K21,$B$16:$D$40,3,FALSE),0)</f>
        <v/>
      </c>
    </row>
    <row r="22">
      <c r="A22" s="5" t="inlineStr">
        <is>
          <t>G</t>
        </is>
      </c>
      <c r="B22" s="5" t="n">
        <v>7</v>
      </c>
      <c r="C22" s="5" t="inlineStr">
        <is>
          <t>Batu Bolong</t>
        </is>
      </c>
      <c r="D22" s="5" t="n">
        <v>480</v>
      </c>
      <c r="J22" s="5" t="inlineStr">
        <is>
          <t>N</t>
        </is>
      </c>
      <c r="K22" s="5" t="n">
        <v>14</v>
      </c>
      <c r="L22" s="8" t="n">
        <v>2</v>
      </c>
      <c r="M22" s="8">
        <f>IF($L$4=L22,K22,$M$8)</f>
        <v/>
      </c>
      <c r="N22" s="8">
        <f t="array" ref="N22">INDEX($B$45:$AA$70,M21+1,M22+1)</f>
        <v/>
      </c>
      <c r="O22" s="8">
        <f>IF(L22=$L$4,VLOOKUP(K22,$B$16:$D$40,3,FALSE),0)</f>
        <v/>
      </c>
    </row>
    <row r="23">
      <c r="A23" s="5" t="inlineStr">
        <is>
          <t>H</t>
        </is>
      </c>
      <c r="B23" s="5" t="n">
        <v>8</v>
      </c>
      <c r="C23" s="5" t="inlineStr">
        <is>
          <t>Pererenan</t>
        </is>
      </c>
      <c r="D23" s="5" t="n">
        <v>300</v>
      </c>
      <c r="J23" s="5" t="inlineStr">
        <is>
          <t>O</t>
        </is>
      </c>
      <c r="K23" s="5" t="n">
        <v>15</v>
      </c>
      <c r="L23" s="8" t="n">
        <v>2</v>
      </c>
      <c r="M23" s="8">
        <f>IF($L$4=L23,K23,$M$8)</f>
        <v/>
      </c>
      <c r="N23" s="8">
        <f t="array" ref="N23">INDEX($B$45:$AA$70,M22+1,M23+1)</f>
        <v/>
      </c>
      <c r="O23" s="8">
        <f>IF(L23=$L$4,VLOOKUP(K23,$B$16:$D$40,3,FALSE),0)</f>
        <v/>
      </c>
    </row>
    <row r="24">
      <c r="A24" s="5" t="inlineStr">
        <is>
          <t>I</t>
        </is>
      </c>
      <c r="B24" s="5" t="n">
        <v>9</v>
      </c>
      <c r="C24" s="5" t="inlineStr">
        <is>
          <t>Kerobokan</t>
        </is>
      </c>
      <c r="D24" s="5" t="n">
        <v>420</v>
      </c>
      <c r="J24" s="5" t="inlineStr">
        <is>
          <t>P</t>
        </is>
      </c>
      <c r="K24" s="5" t="n">
        <v>16</v>
      </c>
      <c r="L24" s="8" t="n">
        <v>2</v>
      </c>
      <c r="M24" s="8">
        <f>IF($L$4=L24,K24,$M$8)</f>
        <v/>
      </c>
      <c r="N24" s="8">
        <f t="array" ref="N24">INDEX($B$45:$AA$70,M23+1,M24+1)</f>
        <v/>
      </c>
      <c r="O24" s="8">
        <f>IF(L24=$L$4,VLOOKUP(K24,$B$16:$D$40,3,FALSE),0)</f>
        <v/>
      </c>
    </row>
    <row r="25">
      <c r="A25" s="5" t="inlineStr">
        <is>
          <t>J</t>
        </is>
      </c>
      <c r="B25" s="5" t="n">
        <v>10</v>
      </c>
      <c r="C25" s="5" t="inlineStr">
        <is>
          <t>Umalas</t>
        </is>
      </c>
      <c r="D25" s="5" t="n">
        <v>380</v>
      </c>
      <c r="J25" s="5" t="inlineStr">
        <is>
          <t>Q</t>
        </is>
      </c>
      <c r="K25" s="5" t="n">
        <v>17</v>
      </c>
      <c r="L25" s="8" t="n">
        <v>2</v>
      </c>
      <c r="M25" s="8">
        <f>IF($L$4=L25,K25,$M$8)</f>
        <v/>
      </c>
      <c r="N25" s="8">
        <f t="array" ref="N25">INDEX($B$45:$AA$70,M24+1,M25+1)</f>
        <v/>
      </c>
      <c r="O25" s="8">
        <f>IF(L25=$L$4,VLOOKUP(K25,$B$16:$D$40,3,FALSE),0)</f>
        <v/>
      </c>
    </row>
    <row r="26">
      <c r="A26" s="5" t="inlineStr">
        <is>
          <t>K</t>
        </is>
      </c>
      <c r="B26" s="5" t="n">
        <v>11</v>
      </c>
      <c r="C26" s="5" t="inlineStr">
        <is>
          <t>Nakula</t>
        </is>
      </c>
      <c r="D26" s="5" t="n">
        <v>440</v>
      </c>
      <c r="J26" s="5" t="inlineStr">
        <is>
          <t>R</t>
        </is>
      </c>
      <c r="K26" s="5" t="n">
        <v>18</v>
      </c>
      <c r="L26" s="8" t="n">
        <v>2</v>
      </c>
      <c r="M26" s="8">
        <f>IF($L$4=L26,K26,$M$8)</f>
        <v/>
      </c>
      <c r="N26" s="8">
        <f t="array" ref="N26">INDEX($B$45:$AA$70,M25+1,M26+1)</f>
        <v/>
      </c>
      <c r="O26" s="8">
        <f>IF(L26=$L$4,VLOOKUP(K26,$B$16:$D$40,3,FALSE),0)</f>
        <v/>
      </c>
    </row>
    <row r="27">
      <c r="A27" s="5" t="inlineStr">
        <is>
          <t>L</t>
        </is>
      </c>
      <c r="B27" s="5" t="n">
        <v>12</v>
      </c>
      <c r="C27" s="5" t="inlineStr">
        <is>
          <t>Dewi Sri</t>
        </is>
      </c>
      <c r="D27" s="5" t="n">
        <v>460</v>
      </c>
      <c r="J27" s="5" t="inlineStr">
        <is>
          <t>S</t>
        </is>
      </c>
      <c r="K27" s="5" t="n">
        <v>19</v>
      </c>
      <c r="L27" s="8" t="n">
        <v>2</v>
      </c>
      <c r="M27" s="8">
        <f>IF($L$4=L27,K27,$M$8)</f>
        <v/>
      </c>
      <c r="N27" s="8">
        <f t="array" ref="N27">INDEX($B$45:$AA$70,M26+1,M27+1)</f>
        <v/>
      </c>
      <c r="O27" s="8">
        <f>IF(L27=$L$4,VLOOKUP(K27,$B$16:$D$40,3,FALSE),0)</f>
        <v/>
      </c>
    </row>
    <row r="28">
      <c r="A28" s="5" t="inlineStr">
        <is>
          <t>M</t>
        </is>
      </c>
      <c r="B28" s="5" t="n">
        <v>13</v>
      </c>
      <c r="C28" s="5" t="inlineStr">
        <is>
          <t>Kuta</t>
        </is>
      </c>
      <c r="D28" s="5" t="n">
        <v>600</v>
      </c>
      <c r="J28" s="5" t="inlineStr">
        <is>
          <t>T</t>
        </is>
      </c>
      <c r="K28" s="5" t="n">
        <v>20</v>
      </c>
      <c r="L28" s="8" t="n">
        <v>2</v>
      </c>
      <c r="M28" s="8">
        <f>IF($L$4=L28,K28,$M$8)</f>
        <v/>
      </c>
      <c r="N28" s="8">
        <f t="array" ref="N28">INDEX($B$45:$AA$70,M27+1,M28+1)</f>
        <v/>
      </c>
      <c r="O28" s="8">
        <f>IF(L28=$L$4,VLOOKUP(K28,$B$16:$D$40,3,FALSE),0)</f>
        <v/>
      </c>
    </row>
    <row r="29">
      <c r="A29" s="5" t="inlineStr">
        <is>
          <t>N</t>
        </is>
      </c>
      <c r="B29" s="5" t="n">
        <v>14</v>
      </c>
      <c r="C29" s="5" t="inlineStr">
        <is>
          <t>Sunset Road</t>
        </is>
      </c>
      <c r="D29" s="5" t="n">
        <v>550</v>
      </c>
      <c r="J29" s="5" t="inlineStr">
        <is>
          <t>U</t>
        </is>
      </c>
      <c r="K29" s="5" t="n">
        <v>21</v>
      </c>
      <c r="L29" s="8" t="n">
        <v>1</v>
      </c>
      <c r="M29" s="8">
        <f>IF($L$4=L29,K29,$M$8)</f>
        <v/>
      </c>
      <c r="N29" s="8">
        <f t="array" ref="N29">INDEX($B$45:$AA$70,M28+1,M29+1)</f>
        <v/>
      </c>
      <c r="O29" s="8">
        <f>IF(L29=$L$4,VLOOKUP(K29,$B$16:$D$40,3,FALSE),0)</f>
        <v/>
      </c>
    </row>
    <row r="30">
      <c r="A30" s="5" t="inlineStr">
        <is>
          <t>O</t>
        </is>
      </c>
      <c r="B30" s="5" t="n">
        <v>15</v>
      </c>
      <c r="C30" s="5" t="inlineStr">
        <is>
          <t>Seminyak</t>
        </is>
      </c>
      <c r="D30" s="5" t="n">
        <v>580</v>
      </c>
      <c r="J30" s="5" t="inlineStr">
        <is>
          <t>V</t>
        </is>
      </c>
      <c r="K30" s="5" t="n">
        <v>22</v>
      </c>
      <c r="L30" s="8" t="n">
        <v>1</v>
      </c>
      <c r="M30" s="8">
        <f>IF($L$4=L30,K30,$M$8)</f>
        <v/>
      </c>
      <c r="N30" s="8">
        <f t="array" ref="N30">INDEX($B$45:$AA$70,M29+1,M30+1)</f>
        <v/>
      </c>
      <c r="O30" s="8">
        <f>IF(L30=$L$4,VLOOKUP(K30,$B$16:$D$40,3,FALSE),0)</f>
        <v/>
      </c>
    </row>
    <row r="31">
      <c r="A31" s="5" t="inlineStr">
        <is>
          <t>P</t>
        </is>
      </c>
      <c r="B31" s="5" t="n">
        <v>16</v>
      </c>
      <c r="C31" s="5" t="inlineStr">
        <is>
          <t>Jimbaran</t>
        </is>
      </c>
      <c r="D31" s="5" t="n">
        <v>360</v>
      </c>
      <c r="J31" s="5" t="inlineStr">
        <is>
          <t>W</t>
        </is>
      </c>
      <c r="K31" s="5" t="n">
        <v>23</v>
      </c>
      <c r="L31" s="8" t="n">
        <v>1</v>
      </c>
      <c r="M31" s="8">
        <f>IF($L$4=L31,K31,$M$8)</f>
        <v/>
      </c>
      <c r="N31" s="8">
        <f t="array" ref="N31">INDEX($B$45:$AA$70,M30+1,M31+1)</f>
        <v/>
      </c>
      <c r="O31" s="8">
        <f>IF(L31=$L$4,VLOOKUP(K31,$B$16:$D$40,3,FALSE),0)</f>
        <v/>
      </c>
    </row>
    <row r="32">
      <c r="A32" s="5" t="inlineStr">
        <is>
          <t>Q</t>
        </is>
      </c>
      <c r="B32" s="5" t="n">
        <v>17</v>
      </c>
      <c r="C32" s="5" t="inlineStr">
        <is>
          <t>Nusa Dua</t>
        </is>
      </c>
      <c r="D32" s="5" t="n">
        <v>340</v>
      </c>
      <c r="J32" s="5" t="inlineStr">
        <is>
          <t>X</t>
        </is>
      </c>
      <c r="K32" s="5" t="n">
        <v>24</v>
      </c>
      <c r="L32" s="8" t="n">
        <v>1</v>
      </c>
      <c r="M32" s="8">
        <f>IF($L$4=L32,K32,$M$8)</f>
        <v/>
      </c>
      <c r="N32" s="8">
        <f t="array" ref="N32">INDEX($B$45:$AA$70,M31+1,M32+1)</f>
        <v/>
      </c>
      <c r="O32" s="8">
        <f>IF(L32=$L$4,VLOOKUP(K32,$B$16:$D$40,3,FALSE),0)</f>
        <v/>
      </c>
    </row>
    <row r="33">
      <c r="A33" s="5" t="inlineStr">
        <is>
          <t>R</t>
        </is>
      </c>
      <c r="B33" s="5" t="n">
        <v>18</v>
      </c>
      <c r="C33" s="5" t="inlineStr">
        <is>
          <t>Benoa</t>
        </is>
      </c>
      <c r="D33" s="5" t="n">
        <v>330</v>
      </c>
      <c r="J33" s="5" t="inlineStr">
        <is>
          <t>Y</t>
        </is>
      </c>
      <c r="K33" s="5" t="n">
        <v>25</v>
      </c>
      <c r="L33" s="8" t="n">
        <v>1</v>
      </c>
      <c r="M33" s="8">
        <f>IF($L$4=L33,K33,$M$8)</f>
        <v/>
      </c>
      <c r="N33" s="8">
        <f t="array" ref="N33">INDEX($B$45:$AA$70,M32+1,M33+1)</f>
        <v/>
      </c>
      <c r="O33" s="8">
        <f>IF(L33=$L$4,VLOOKUP(K33,$B$16:$D$40,3,FALSE),0)</f>
        <v/>
      </c>
    </row>
    <row r="34" ht="29" customHeight="1">
      <c r="A34" s="5" t="inlineStr">
        <is>
          <t>S</t>
        </is>
      </c>
      <c r="B34" s="5" t="n">
        <v>19</v>
      </c>
      <c r="C34" s="5" t="inlineStr">
        <is>
          <t>Ungasan</t>
        </is>
      </c>
      <c r="D34" s="5" t="n">
        <v>290</v>
      </c>
      <c r="K34" s="86" t="inlineStr">
        <is>
          <t>DISTANCE</t>
        </is>
      </c>
      <c r="L34" s="136" t="n"/>
      <c r="M34" s="137" t="n"/>
      <c r="N34" s="8">
        <f>SUM(N9:N33)</f>
        <v/>
      </c>
      <c r="O34" s="8">
        <f>SUM(O9:O33)</f>
        <v/>
      </c>
    </row>
    <row r="35">
      <c r="A35" s="5" t="inlineStr">
        <is>
          <t>T</t>
        </is>
      </c>
      <c r="B35" s="5" t="n">
        <v>20</v>
      </c>
      <c r="C35" s="5" t="inlineStr">
        <is>
          <t>Pecatu</t>
        </is>
      </c>
      <c r="D35" s="5" t="n">
        <v>270</v>
      </c>
    </row>
    <row r="36">
      <c r="A36" s="5" t="inlineStr">
        <is>
          <t>U</t>
        </is>
      </c>
      <c r="B36" s="5" t="n">
        <v>21</v>
      </c>
      <c r="C36" s="5" t="inlineStr">
        <is>
          <t>Teuku Umar</t>
        </is>
      </c>
      <c r="D36" s="5" t="n">
        <v>520</v>
      </c>
    </row>
    <row r="37">
      <c r="A37" s="5" t="inlineStr">
        <is>
          <t>V</t>
        </is>
      </c>
      <c r="B37" s="5" t="n">
        <v>22</v>
      </c>
      <c r="C37" s="5" t="inlineStr">
        <is>
          <t>Gatsu</t>
        </is>
      </c>
      <c r="D37" s="5" t="n">
        <v>500</v>
      </c>
    </row>
    <row r="38">
      <c r="A38" s="5" t="inlineStr">
        <is>
          <t>W</t>
        </is>
      </c>
      <c r="B38" s="5" t="n">
        <v>23</v>
      </c>
      <c r="C38" s="5" t="inlineStr">
        <is>
          <t>Sanur</t>
        </is>
      </c>
      <c r="D38" s="5" t="n">
        <v>470</v>
      </c>
    </row>
    <row r="39">
      <c r="A39" s="5" t="inlineStr">
        <is>
          <t>X</t>
        </is>
      </c>
      <c r="B39" s="5" t="n">
        <v>24</v>
      </c>
      <c r="C39" s="5" t="inlineStr">
        <is>
          <t>Renon</t>
        </is>
      </c>
      <c r="D39" s="5" t="n">
        <v>490</v>
      </c>
    </row>
    <row r="40">
      <c r="A40" s="5" t="inlineStr">
        <is>
          <t>Y</t>
        </is>
      </c>
      <c r="B40" s="5" t="n">
        <v>25</v>
      </c>
      <c r="C40" s="5" t="inlineStr">
        <is>
          <t>Sesetan</t>
        </is>
      </c>
      <c r="D40" s="5" t="n">
        <v>410</v>
      </c>
    </row>
    <row r="43">
      <c r="A43" s="122" t="inlineStr">
        <is>
          <t>TABEL OD MATRIX JARAK (KM)</t>
        </is>
      </c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7" t="n"/>
    </row>
    <row r="44">
      <c r="A44" s="4" t="n"/>
      <c r="B44" s="4" t="inlineStr">
        <is>
          <t>GUDANG</t>
        </is>
      </c>
      <c r="C44" s="4" t="inlineStr">
        <is>
          <t>A</t>
        </is>
      </c>
      <c r="D44" s="4" t="inlineStr">
        <is>
          <t>B</t>
        </is>
      </c>
      <c r="E44" s="4" t="inlineStr">
        <is>
          <t>C</t>
        </is>
      </c>
      <c r="F44" s="4" t="inlineStr">
        <is>
          <t>D</t>
        </is>
      </c>
      <c r="G44" s="4" t="inlineStr">
        <is>
          <t>E</t>
        </is>
      </c>
      <c r="H44" s="4" t="inlineStr">
        <is>
          <t>F</t>
        </is>
      </c>
      <c r="I44" s="4" t="inlineStr">
        <is>
          <t>G</t>
        </is>
      </c>
      <c r="J44" s="4" t="inlineStr">
        <is>
          <t>H</t>
        </is>
      </c>
      <c r="K44" s="4" t="inlineStr">
        <is>
          <t>I</t>
        </is>
      </c>
      <c r="L44" s="4" t="inlineStr">
        <is>
          <t>J</t>
        </is>
      </c>
      <c r="M44" s="4" t="inlineStr">
        <is>
          <t>K</t>
        </is>
      </c>
      <c r="N44" s="4" t="inlineStr">
        <is>
          <t>L</t>
        </is>
      </c>
      <c r="O44" s="4" t="inlineStr">
        <is>
          <t>M</t>
        </is>
      </c>
      <c r="P44" s="4" t="inlineStr">
        <is>
          <t>N</t>
        </is>
      </c>
      <c r="Q44" s="4" t="inlineStr">
        <is>
          <t>O</t>
        </is>
      </c>
      <c r="R44" s="4" t="inlineStr">
        <is>
          <t>P</t>
        </is>
      </c>
      <c r="S44" s="4" t="inlineStr">
        <is>
          <t>Q</t>
        </is>
      </c>
      <c r="T44" s="4" t="inlineStr">
        <is>
          <t>R</t>
        </is>
      </c>
      <c r="U44" s="4" t="inlineStr">
        <is>
          <t>S</t>
        </is>
      </c>
      <c r="V44" s="4" t="inlineStr">
        <is>
          <t>T</t>
        </is>
      </c>
      <c r="W44" s="4" t="inlineStr">
        <is>
          <t>U</t>
        </is>
      </c>
      <c r="X44" s="4" t="inlineStr">
        <is>
          <t>V</t>
        </is>
      </c>
      <c r="Y44" s="4" t="inlineStr">
        <is>
          <t>W</t>
        </is>
      </c>
      <c r="Z44" s="4" t="inlineStr">
        <is>
          <t>X</t>
        </is>
      </c>
      <c r="AA44" s="4" t="inlineStr">
        <is>
          <t>Y</t>
        </is>
      </c>
    </row>
    <row r="45">
      <c r="A45" s="6" t="inlineStr">
        <is>
          <t>GUDANG</t>
        </is>
      </c>
      <c r="B45" s="7" t="n">
        <v>0</v>
      </c>
      <c r="C45" s="8" t="n">
        <v>9.4</v>
      </c>
      <c r="D45" s="8" t="n">
        <v>15.3</v>
      </c>
      <c r="E45" s="8" t="n">
        <v>14.1</v>
      </c>
      <c r="F45" s="8" t="n">
        <v>14.5</v>
      </c>
      <c r="G45" s="8" t="n">
        <v>20</v>
      </c>
      <c r="H45" s="8" t="n">
        <v>25</v>
      </c>
      <c r="I45" s="8" t="n">
        <v>23</v>
      </c>
      <c r="J45" s="8" t="n">
        <v>19.2</v>
      </c>
      <c r="K45" s="8" t="n">
        <v>18.8</v>
      </c>
      <c r="L45" s="8" t="n">
        <v>24.9</v>
      </c>
      <c r="M45" s="8" t="n">
        <v>27.1</v>
      </c>
      <c r="N45" s="8" t="n">
        <v>27.6</v>
      </c>
      <c r="O45" s="8" t="n">
        <v>30.9</v>
      </c>
      <c r="P45" s="8" t="n">
        <v>28.3</v>
      </c>
      <c r="Q45" s="8" t="n">
        <v>25.5</v>
      </c>
      <c r="R45" s="8" t="n">
        <v>38</v>
      </c>
      <c r="S45" s="8" t="n">
        <v>40.4</v>
      </c>
      <c r="T45" s="8" t="n">
        <v>46.3</v>
      </c>
      <c r="U45" s="8" t="n">
        <v>40.4</v>
      </c>
      <c r="V45" s="8" t="n">
        <v>45.1</v>
      </c>
      <c r="W45" s="8" t="n">
        <v>25.1</v>
      </c>
      <c r="X45" s="8" t="n">
        <v>19.3</v>
      </c>
      <c r="Y45" s="8" t="n">
        <v>29</v>
      </c>
      <c r="Z45" s="8" t="n">
        <v>27.9</v>
      </c>
      <c r="AA45" s="8" t="n">
        <v>26.9</v>
      </c>
    </row>
    <row r="46">
      <c r="A46" s="6" t="inlineStr">
        <is>
          <t>A</t>
        </is>
      </c>
      <c r="B46" s="8" t="n">
        <v>9.4</v>
      </c>
      <c r="C46" s="7" t="n">
        <v>0</v>
      </c>
      <c r="D46" s="5" t="n">
        <v>8</v>
      </c>
      <c r="E46" s="5" t="n">
        <v>6.8</v>
      </c>
      <c r="F46" s="5" t="n">
        <v>7.2</v>
      </c>
      <c r="G46" s="5" t="n">
        <v>12.7</v>
      </c>
      <c r="H46" s="5" t="n">
        <v>13.2</v>
      </c>
      <c r="I46" s="5" t="n">
        <v>13.7</v>
      </c>
      <c r="J46" s="5" t="n">
        <v>10.8</v>
      </c>
      <c r="K46" s="5" t="n">
        <v>11.5</v>
      </c>
      <c r="L46" s="5" t="n">
        <v>16.7</v>
      </c>
      <c r="M46" s="5" t="n">
        <v>21.1</v>
      </c>
      <c r="N46" s="5" t="n">
        <v>21.8</v>
      </c>
      <c r="O46" s="5" t="n">
        <v>21</v>
      </c>
      <c r="P46" s="5" t="n">
        <v>23</v>
      </c>
      <c r="Q46" s="5" t="n">
        <v>18.2</v>
      </c>
      <c r="R46" s="5" t="n">
        <v>30.7</v>
      </c>
      <c r="S46" s="5" t="n">
        <v>33</v>
      </c>
      <c r="T46" s="5" t="n">
        <v>38.3</v>
      </c>
      <c r="U46" s="5" t="n">
        <v>33.1</v>
      </c>
      <c r="V46" s="5" t="n">
        <v>37.8</v>
      </c>
      <c r="W46" s="5" t="n">
        <v>17.8</v>
      </c>
      <c r="X46" s="5" t="n">
        <v>12</v>
      </c>
      <c r="Y46" s="5" t="n">
        <v>21.6</v>
      </c>
      <c r="Z46" s="5" t="n">
        <v>20.9</v>
      </c>
      <c r="AA46" s="5" t="n">
        <v>19.6</v>
      </c>
    </row>
    <row r="47">
      <c r="A47" s="6" t="inlineStr">
        <is>
          <t>B</t>
        </is>
      </c>
      <c r="B47" s="8" t="n">
        <v>15.3</v>
      </c>
      <c r="C47" s="5" t="n">
        <v>8</v>
      </c>
      <c r="D47" s="7" t="n">
        <v>0</v>
      </c>
      <c r="E47" s="5" t="n">
        <v>3.6</v>
      </c>
      <c r="F47" s="5" t="n">
        <v>1</v>
      </c>
      <c r="G47" s="5" t="n">
        <v>5.1</v>
      </c>
      <c r="H47" s="5" t="n">
        <v>5.6</v>
      </c>
      <c r="I47" s="5" t="n">
        <v>6.1</v>
      </c>
      <c r="J47" s="5" t="n">
        <v>5.3</v>
      </c>
      <c r="K47" s="5" t="n">
        <v>4.9</v>
      </c>
      <c r="L47" s="5" t="n">
        <v>9.800000000000001</v>
      </c>
      <c r="M47" s="5" t="n">
        <v>13.3</v>
      </c>
      <c r="N47" s="5" t="n">
        <v>13.8</v>
      </c>
      <c r="O47" s="5" t="n">
        <v>14.3</v>
      </c>
      <c r="P47" s="5" t="n">
        <v>14.3</v>
      </c>
      <c r="Q47" s="5" t="n">
        <v>11.7</v>
      </c>
      <c r="R47" s="5" t="n">
        <v>24.1</v>
      </c>
      <c r="S47" s="5" t="n">
        <v>26.4</v>
      </c>
      <c r="T47" s="5" t="n">
        <v>31.6</v>
      </c>
      <c r="U47" s="5" t="n">
        <v>26.4</v>
      </c>
      <c r="V47" s="5" t="n">
        <v>31.1</v>
      </c>
      <c r="W47" s="5" t="n">
        <v>11.7</v>
      </c>
      <c r="X47" s="5" t="n">
        <v>5.6</v>
      </c>
      <c r="Y47" s="5" t="n">
        <v>18.9</v>
      </c>
      <c r="Z47" s="5" t="n">
        <v>16.6</v>
      </c>
      <c r="AA47" s="5" t="n">
        <v>15.7</v>
      </c>
    </row>
    <row r="48">
      <c r="A48" s="6" t="inlineStr">
        <is>
          <t>C</t>
        </is>
      </c>
      <c r="B48" s="8" t="n">
        <v>14.1</v>
      </c>
      <c r="C48" s="5" t="n">
        <v>6.8</v>
      </c>
      <c r="D48" s="5" t="n">
        <v>3.6</v>
      </c>
      <c r="E48" s="7" t="n">
        <v>0</v>
      </c>
      <c r="F48" s="5" t="n">
        <v>2.9</v>
      </c>
      <c r="G48" s="5" t="n">
        <v>6.4</v>
      </c>
      <c r="H48" s="5" t="n">
        <v>6.9</v>
      </c>
      <c r="I48" s="5" t="n">
        <v>8.800000000000001</v>
      </c>
      <c r="J48" s="5" t="n">
        <v>8.9</v>
      </c>
      <c r="K48" s="5" t="n">
        <v>5.1</v>
      </c>
      <c r="L48" s="5" t="n">
        <v>10.3</v>
      </c>
      <c r="M48" s="5" t="n">
        <v>13.4</v>
      </c>
      <c r="N48" s="5" t="n">
        <v>13.9</v>
      </c>
      <c r="O48" s="5" t="n">
        <v>14.2</v>
      </c>
      <c r="P48" s="5" t="n">
        <v>14.2</v>
      </c>
      <c r="Q48" s="5" t="n">
        <v>11.8</v>
      </c>
      <c r="R48" s="5" t="n">
        <v>23.9</v>
      </c>
      <c r="S48" s="5" t="n">
        <v>26.2</v>
      </c>
      <c r="T48" s="5" t="n">
        <v>31.5</v>
      </c>
      <c r="U48" s="5" t="n">
        <v>26.2</v>
      </c>
      <c r="V48" s="5" t="n">
        <v>30.9</v>
      </c>
      <c r="W48" s="5" t="n">
        <v>10.3</v>
      </c>
      <c r="X48" s="5" t="n">
        <v>5.1</v>
      </c>
      <c r="Y48" s="5" t="n">
        <v>16</v>
      </c>
      <c r="Z48" s="5" t="n">
        <v>14.4</v>
      </c>
      <c r="AA48" s="5" t="n">
        <v>12.8</v>
      </c>
    </row>
    <row r="49">
      <c r="A49" s="6" t="inlineStr">
        <is>
          <t>D</t>
        </is>
      </c>
      <c r="B49" s="8" t="n">
        <v>14.5</v>
      </c>
      <c r="C49" s="5" t="n">
        <v>7.2</v>
      </c>
      <c r="D49" s="5" t="n">
        <v>1</v>
      </c>
      <c r="E49" s="5" t="n">
        <v>2.9</v>
      </c>
      <c r="F49" s="7" t="n">
        <v>0</v>
      </c>
      <c r="G49" s="5" t="n">
        <v>4.7</v>
      </c>
      <c r="H49" s="5" t="n">
        <v>5.2</v>
      </c>
      <c r="I49" s="5" t="n">
        <v>7</v>
      </c>
      <c r="J49" s="5" t="n">
        <v>6.3</v>
      </c>
      <c r="K49" s="5" t="n">
        <v>4.2</v>
      </c>
      <c r="L49" s="5" t="n">
        <v>9.5</v>
      </c>
      <c r="M49" s="5" t="n">
        <v>12.5</v>
      </c>
      <c r="N49" s="5" t="n">
        <v>13.1</v>
      </c>
      <c r="O49" s="5" t="n">
        <v>13.6</v>
      </c>
      <c r="P49" s="5" t="n">
        <v>13.6</v>
      </c>
      <c r="Q49" s="5" t="n">
        <v>11</v>
      </c>
      <c r="R49" s="5" t="n">
        <v>23.4</v>
      </c>
      <c r="S49" s="5" t="n">
        <v>25.7</v>
      </c>
      <c r="T49" s="5" t="n">
        <v>30.9</v>
      </c>
      <c r="U49" s="5" t="n">
        <v>26.9</v>
      </c>
      <c r="V49" s="5" t="n">
        <v>30.4</v>
      </c>
      <c r="W49" s="5" t="n">
        <v>11</v>
      </c>
      <c r="X49" s="5" t="n">
        <v>4.9</v>
      </c>
      <c r="Y49" s="5" t="n">
        <v>18.2</v>
      </c>
      <c r="Z49" s="5" t="n">
        <v>15.9</v>
      </c>
      <c r="AA49" s="5" t="n">
        <v>14.3</v>
      </c>
    </row>
    <row r="50">
      <c r="A50" s="6" t="inlineStr">
        <is>
          <t>E</t>
        </is>
      </c>
      <c r="B50" s="8" t="n">
        <v>20</v>
      </c>
      <c r="C50" s="5" t="n">
        <v>12.7</v>
      </c>
      <c r="D50" s="5" t="n">
        <v>5.1</v>
      </c>
      <c r="E50" s="5" t="n">
        <v>6.4</v>
      </c>
      <c r="F50" s="5" t="n">
        <v>4.7</v>
      </c>
      <c r="G50" s="7" t="n">
        <v>0</v>
      </c>
      <c r="H50" s="5" t="n">
        <v>5.2</v>
      </c>
      <c r="I50" s="5" t="n">
        <v>7</v>
      </c>
      <c r="J50" s="5" t="n">
        <v>6.3</v>
      </c>
      <c r="K50" s="5" t="n">
        <v>4.2</v>
      </c>
      <c r="L50" s="5" t="n">
        <v>9.5</v>
      </c>
      <c r="M50" s="5" t="n">
        <v>12.5</v>
      </c>
      <c r="N50" s="5" t="n">
        <v>13.1</v>
      </c>
      <c r="O50" s="5" t="n">
        <v>13.6</v>
      </c>
      <c r="P50" s="5" t="n">
        <v>13.6</v>
      </c>
      <c r="Q50" s="5" t="n">
        <v>11</v>
      </c>
      <c r="R50" s="5" t="n">
        <v>23.4</v>
      </c>
      <c r="S50" s="5" t="n">
        <v>25.7</v>
      </c>
      <c r="T50" s="5" t="n">
        <v>30.9</v>
      </c>
      <c r="U50" s="5" t="n">
        <v>25.7</v>
      </c>
      <c r="V50" s="5" t="n">
        <v>30.4</v>
      </c>
      <c r="W50" s="5" t="n">
        <v>11</v>
      </c>
      <c r="X50" s="5" t="n">
        <v>4.9</v>
      </c>
      <c r="Y50" s="5" t="n">
        <v>16</v>
      </c>
      <c r="Z50" s="5" t="n">
        <v>15.9</v>
      </c>
      <c r="AA50" s="5" t="n">
        <v>15</v>
      </c>
    </row>
    <row r="51">
      <c r="A51" s="6" t="inlineStr">
        <is>
          <t>F</t>
        </is>
      </c>
      <c r="B51" s="8" t="n">
        <v>25</v>
      </c>
      <c r="C51" s="5" t="n">
        <v>13.2</v>
      </c>
      <c r="D51" s="5" t="n">
        <v>5.6</v>
      </c>
      <c r="E51" s="5" t="n">
        <v>6.9</v>
      </c>
      <c r="F51" s="5" t="n">
        <v>5.2</v>
      </c>
      <c r="G51" s="5" t="n">
        <v>5.2</v>
      </c>
      <c r="H51" s="7" t="n">
        <v>0</v>
      </c>
      <c r="I51" s="5" t="n">
        <v>2.7</v>
      </c>
      <c r="J51" s="5" t="n">
        <v>3</v>
      </c>
      <c r="K51" s="5" t="n">
        <v>3.8</v>
      </c>
      <c r="L51" s="5" t="n">
        <v>4.9</v>
      </c>
      <c r="M51" s="5" t="n">
        <v>9.6</v>
      </c>
      <c r="N51" s="5" t="n">
        <v>10.2</v>
      </c>
      <c r="O51" s="5" t="n">
        <v>10.7</v>
      </c>
      <c r="P51" s="5" t="n">
        <v>10.7</v>
      </c>
      <c r="Q51" s="5" t="n">
        <v>8.300000000000001</v>
      </c>
      <c r="R51" s="5" t="n">
        <v>20.4</v>
      </c>
      <c r="S51" s="5" t="n">
        <v>22.7</v>
      </c>
      <c r="T51" s="5" t="n">
        <v>27.9</v>
      </c>
      <c r="U51" s="5" t="n">
        <v>22.7</v>
      </c>
      <c r="V51" s="5" t="n">
        <v>27.4</v>
      </c>
      <c r="W51" s="5" t="n">
        <v>10.2</v>
      </c>
      <c r="X51" s="5" t="n">
        <v>4.9</v>
      </c>
      <c r="Y51" s="5" t="n">
        <v>15.2</v>
      </c>
      <c r="Z51" s="5" t="n">
        <v>15.1</v>
      </c>
      <c r="AA51" s="5" t="n">
        <v>12.8</v>
      </c>
    </row>
    <row r="52">
      <c r="A52" s="6" t="inlineStr">
        <is>
          <t>G</t>
        </is>
      </c>
      <c r="B52" s="8" t="n">
        <v>23</v>
      </c>
      <c r="C52" s="5" t="n">
        <v>13.7</v>
      </c>
      <c r="D52" s="5" t="n">
        <v>6.1</v>
      </c>
      <c r="E52" s="5" t="n">
        <v>8.800000000000001</v>
      </c>
      <c r="F52" s="5" t="n">
        <v>7</v>
      </c>
      <c r="G52" s="5" t="n">
        <v>7</v>
      </c>
      <c r="H52" s="5" t="n">
        <v>2.7</v>
      </c>
      <c r="I52" s="7" t="n">
        <v>0</v>
      </c>
      <c r="J52" s="5" t="n">
        <v>3</v>
      </c>
      <c r="K52" s="5" t="n">
        <v>5.5</v>
      </c>
      <c r="L52" s="5" t="n">
        <v>5</v>
      </c>
      <c r="M52" s="5" t="n">
        <v>11.3</v>
      </c>
      <c r="N52" s="5" t="n">
        <v>11.8</v>
      </c>
      <c r="O52" s="5" t="n">
        <v>12.3</v>
      </c>
      <c r="P52" s="5" t="n">
        <v>12.3</v>
      </c>
      <c r="Q52" s="5" t="n">
        <v>10</v>
      </c>
      <c r="R52" s="5" t="n">
        <v>22.1</v>
      </c>
      <c r="S52" s="5" t="n">
        <v>24.4</v>
      </c>
      <c r="T52" s="5" t="n">
        <v>29.6</v>
      </c>
      <c r="U52" s="5" t="n">
        <v>24.4</v>
      </c>
      <c r="V52" s="5" t="n">
        <v>29.1</v>
      </c>
      <c r="W52" s="5" t="n">
        <v>12</v>
      </c>
      <c r="X52" s="5" t="n">
        <v>6.6</v>
      </c>
      <c r="Y52" s="5" t="n">
        <v>16.9</v>
      </c>
      <c r="Z52" s="5" t="n">
        <v>16.9</v>
      </c>
      <c r="AA52" s="5" t="n">
        <v>14.5</v>
      </c>
    </row>
    <row r="53">
      <c r="A53" s="6" t="inlineStr">
        <is>
          <t>H</t>
        </is>
      </c>
      <c r="B53" s="8" t="n">
        <v>19.2</v>
      </c>
      <c r="C53" s="5" t="n">
        <v>10.8</v>
      </c>
      <c r="D53" s="5" t="n">
        <v>5.3</v>
      </c>
      <c r="E53" s="5" t="n">
        <v>8.9</v>
      </c>
      <c r="F53" s="5" t="n">
        <v>6.3</v>
      </c>
      <c r="G53" s="5" t="n">
        <v>6.3</v>
      </c>
      <c r="H53" s="5" t="n">
        <v>3</v>
      </c>
      <c r="I53" s="5" t="n">
        <v>3</v>
      </c>
      <c r="J53" s="7" t="n">
        <v>0</v>
      </c>
      <c r="K53" s="5" t="n">
        <v>5.9</v>
      </c>
      <c r="L53" s="5" t="n">
        <v>7.4</v>
      </c>
      <c r="M53" s="5" t="n">
        <v>11.7</v>
      </c>
      <c r="N53" s="5" t="n">
        <v>12.2</v>
      </c>
      <c r="O53" s="5" t="n">
        <v>12.7</v>
      </c>
      <c r="P53" s="5" t="n">
        <v>12.7</v>
      </c>
      <c r="Q53" s="5" t="n">
        <v>10.3</v>
      </c>
      <c r="R53" s="5" t="n">
        <v>22.4</v>
      </c>
      <c r="S53" s="5" t="n">
        <v>24.7</v>
      </c>
      <c r="T53" s="5" t="n">
        <v>30</v>
      </c>
      <c r="U53" s="5" t="n">
        <v>24.8</v>
      </c>
      <c r="V53" s="5" t="n">
        <v>29.5</v>
      </c>
      <c r="W53" s="5" t="n">
        <v>12.4</v>
      </c>
      <c r="X53" s="5" t="n">
        <v>6.9</v>
      </c>
      <c r="Y53" s="5" t="n">
        <v>17.3</v>
      </c>
      <c r="Z53" s="5" t="n">
        <v>17.2</v>
      </c>
      <c r="AA53" s="5" t="n">
        <v>14.8</v>
      </c>
    </row>
    <row r="54">
      <c r="A54" s="6" t="inlineStr">
        <is>
          <t>I</t>
        </is>
      </c>
      <c r="B54" s="8" t="n">
        <v>18.8</v>
      </c>
      <c r="C54" s="5" t="n">
        <v>11.5</v>
      </c>
      <c r="D54" s="5" t="n">
        <v>4.9</v>
      </c>
      <c r="E54" s="5" t="n">
        <v>5.1</v>
      </c>
      <c r="F54" s="5" t="n">
        <v>4.2</v>
      </c>
      <c r="G54" s="5" t="n">
        <v>4.2</v>
      </c>
      <c r="H54" s="5" t="n">
        <v>3.8</v>
      </c>
      <c r="I54" s="5" t="n">
        <v>5.5</v>
      </c>
      <c r="J54" s="5" t="n">
        <v>5.9</v>
      </c>
      <c r="K54" s="7" t="n">
        <v>0</v>
      </c>
      <c r="L54" s="5" t="n">
        <v>5.3</v>
      </c>
      <c r="M54" s="5" t="n">
        <v>8.4</v>
      </c>
      <c r="N54" s="5" t="n">
        <v>8.9</v>
      </c>
      <c r="O54" s="5" t="n">
        <v>9.5</v>
      </c>
      <c r="P54" s="5" t="n">
        <v>9.4</v>
      </c>
      <c r="Q54" s="5" t="n">
        <v>6.8</v>
      </c>
      <c r="R54" s="5" t="n">
        <v>19.2</v>
      </c>
      <c r="S54" s="5" t="n">
        <v>21.5</v>
      </c>
      <c r="T54" s="5" t="n">
        <v>26.8</v>
      </c>
      <c r="U54" s="5" t="n">
        <v>21.2</v>
      </c>
      <c r="V54" s="5" t="n">
        <v>26.2</v>
      </c>
      <c r="W54" s="5" t="n">
        <v>8.300000000000001</v>
      </c>
      <c r="X54" s="5" t="n">
        <v>1.1</v>
      </c>
      <c r="Y54" s="5" t="n">
        <v>13</v>
      </c>
      <c r="Z54" s="5" t="n">
        <v>12.9</v>
      </c>
      <c r="AA54" s="5" t="n">
        <v>10.8</v>
      </c>
    </row>
    <row r="55">
      <c r="A55" s="6" t="inlineStr">
        <is>
          <t>J</t>
        </is>
      </c>
      <c r="B55" s="8" t="n">
        <v>24.9</v>
      </c>
      <c r="C55" s="5" t="n">
        <v>16.7</v>
      </c>
      <c r="D55" s="5" t="n">
        <v>9.800000000000001</v>
      </c>
      <c r="E55" s="5" t="n">
        <v>10.3</v>
      </c>
      <c r="F55" s="5" t="n">
        <v>9.5</v>
      </c>
      <c r="G55" s="5" t="n">
        <v>9.5</v>
      </c>
      <c r="H55" s="5" t="n">
        <v>4.9</v>
      </c>
      <c r="I55" s="5" t="n">
        <v>5</v>
      </c>
      <c r="J55" s="5" t="n">
        <v>7.4</v>
      </c>
      <c r="K55" s="5" t="n">
        <v>5.3</v>
      </c>
      <c r="L55" s="7" t="n">
        <v>0</v>
      </c>
      <c r="M55" s="5" t="n">
        <v>6.7</v>
      </c>
      <c r="N55" s="5" t="n">
        <v>7.2</v>
      </c>
      <c r="O55" s="5" t="n">
        <v>7.7</v>
      </c>
      <c r="P55" s="5" t="n">
        <v>8.1</v>
      </c>
      <c r="Q55" s="5" t="n">
        <v>5.4</v>
      </c>
      <c r="R55" s="5" t="n">
        <v>17.4</v>
      </c>
      <c r="S55" s="5" t="n">
        <v>20.1</v>
      </c>
      <c r="T55" s="5" t="n">
        <v>25.3</v>
      </c>
      <c r="U55" s="5" t="n">
        <v>19.8</v>
      </c>
      <c r="V55" s="5" t="n">
        <v>24.5</v>
      </c>
      <c r="W55" s="5" t="n">
        <v>7.6</v>
      </c>
      <c r="X55" s="5" t="n">
        <v>5.1</v>
      </c>
      <c r="Y55" s="5" t="n">
        <v>15.7</v>
      </c>
      <c r="Z55" s="5" t="n">
        <v>18.4</v>
      </c>
      <c r="AA55" s="5" t="n">
        <v>10.2</v>
      </c>
    </row>
    <row r="56">
      <c r="A56" s="6" t="inlineStr">
        <is>
          <t>K</t>
        </is>
      </c>
      <c r="B56" s="8" t="n">
        <v>27.1</v>
      </c>
      <c r="C56" s="5" t="n">
        <v>21.1</v>
      </c>
      <c r="D56" s="5" t="n">
        <v>13.3</v>
      </c>
      <c r="E56" s="5" t="n">
        <v>13.4</v>
      </c>
      <c r="F56" s="5" t="n">
        <v>12.5</v>
      </c>
      <c r="G56" s="5" t="n">
        <v>12.5</v>
      </c>
      <c r="H56" s="5" t="n">
        <v>9.6</v>
      </c>
      <c r="I56" s="5" t="n">
        <v>11.3</v>
      </c>
      <c r="J56" s="5" t="n">
        <v>11.7</v>
      </c>
      <c r="K56" s="5" t="n">
        <v>8.4</v>
      </c>
      <c r="L56" s="5" t="n">
        <v>6.7</v>
      </c>
      <c r="M56" s="7" t="n">
        <v>0</v>
      </c>
      <c r="N56" s="5" t="n">
        <v>1.2</v>
      </c>
      <c r="O56" s="5" t="n">
        <v>1.3</v>
      </c>
      <c r="P56" s="5" t="n">
        <v>1.5</v>
      </c>
      <c r="Q56" s="5" t="n">
        <v>2.3</v>
      </c>
      <c r="R56" s="5" t="n">
        <v>11</v>
      </c>
      <c r="S56" s="5" t="n">
        <v>13.7</v>
      </c>
      <c r="T56" s="5" t="n">
        <v>19.3</v>
      </c>
      <c r="U56" s="5" t="n">
        <v>13.4</v>
      </c>
      <c r="V56" s="5" t="n">
        <v>18.1</v>
      </c>
      <c r="W56" s="5" t="n">
        <v>9.800000000000001</v>
      </c>
      <c r="X56" s="5" t="n">
        <v>14.9</v>
      </c>
      <c r="Y56" s="5" t="n">
        <v>18.9</v>
      </c>
      <c r="Z56" s="5" t="n">
        <v>12</v>
      </c>
      <c r="AA56" s="5" t="n">
        <v>9.699999999999999</v>
      </c>
    </row>
    <row r="57">
      <c r="A57" s="6" t="inlineStr">
        <is>
          <t>L</t>
        </is>
      </c>
      <c r="B57" s="8" t="n">
        <v>27.6</v>
      </c>
      <c r="C57" s="5" t="n">
        <v>21.8</v>
      </c>
      <c r="D57" s="5" t="n">
        <v>13.8</v>
      </c>
      <c r="E57" s="5" t="n">
        <v>13.9</v>
      </c>
      <c r="F57" s="5" t="n">
        <v>13.1</v>
      </c>
      <c r="G57" s="5" t="n">
        <v>13.1</v>
      </c>
      <c r="H57" s="5" t="n">
        <v>10.2</v>
      </c>
      <c r="I57" s="5" t="n">
        <v>11.8</v>
      </c>
      <c r="J57" s="5" t="n">
        <v>12.2</v>
      </c>
      <c r="K57" s="5" t="n">
        <v>8.9</v>
      </c>
      <c r="L57" s="5" t="n">
        <v>7.2</v>
      </c>
      <c r="M57" s="5" t="n">
        <v>1.2</v>
      </c>
      <c r="N57" s="7" t="n">
        <v>0</v>
      </c>
      <c r="O57" s="5" t="n">
        <v>3.4</v>
      </c>
      <c r="P57" s="5" t="n">
        <v>1.7</v>
      </c>
      <c r="Q57" s="5" t="n">
        <v>2</v>
      </c>
      <c r="R57" s="5" t="n">
        <v>11</v>
      </c>
      <c r="S57" s="5" t="n">
        <v>14</v>
      </c>
      <c r="T57" s="5" t="n">
        <v>18.9</v>
      </c>
      <c r="U57" s="5" t="n">
        <v>13.3</v>
      </c>
      <c r="V57" s="5" t="n">
        <v>18</v>
      </c>
      <c r="W57" s="5" t="n">
        <v>5.6</v>
      </c>
      <c r="X57" s="5" t="n">
        <v>9.4</v>
      </c>
      <c r="Y57" s="5" t="n">
        <v>14.9</v>
      </c>
      <c r="Z57" s="5" t="n">
        <v>11.9</v>
      </c>
      <c r="AA57" s="5" t="n">
        <v>10.3</v>
      </c>
    </row>
    <row r="58">
      <c r="A58" s="6" t="inlineStr">
        <is>
          <t>M</t>
        </is>
      </c>
      <c r="B58" s="8" t="n">
        <v>30.9</v>
      </c>
      <c r="C58" s="5" t="n">
        <v>21</v>
      </c>
      <c r="D58" s="5" t="n">
        <v>14.3</v>
      </c>
      <c r="E58" s="5" t="n">
        <v>14.2</v>
      </c>
      <c r="F58" s="5" t="n">
        <v>13.6</v>
      </c>
      <c r="G58" s="5" t="n">
        <v>13.6</v>
      </c>
      <c r="H58" s="5" t="n">
        <v>10.7</v>
      </c>
      <c r="I58" s="5" t="n">
        <v>12.3</v>
      </c>
      <c r="J58" s="5" t="n">
        <v>12.7</v>
      </c>
      <c r="K58" s="5" t="n">
        <v>9.5</v>
      </c>
      <c r="L58" s="5" t="n">
        <v>7.7</v>
      </c>
      <c r="M58" s="5" t="n">
        <v>1.3</v>
      </c>
      <c r="N58" s="5" t="n">
        <v>3.4</v>
      </c>
      <c r="O58" s="7" t="n">
        <v>0</v>
      </c>
      <c r="P58" s="5" t="n">
        <v>3.2</v>
      </c>
      <c r="Q58" s="5" t="n">
        <v>5.4</v>
      </c>
      <c r="R58" s="5" t="n">
        <v>7.7</v>
      </c>
      <c r="S58" s="5" t="n">
        <v>10.2</v>
      </c>
      <c r="T58" s="5" t="n">
        <v>15.9</v>
      </c>
      <c r="U58" s="5" t="n">
        <v>10</v>
      </c>
      <c r="V58" s="5" t="n">
        <v>14.7</v>
      </c>
      <c r="W58" s="5" t="n">
        <v>8.699999999999999</v>
      </c>
      <c r="X58" s="5" t="n">
        <v>13.6</v>
      </c>
      <c r="Y58" s="5" t="n">
        <v>14.1</v>
      </c>
      <c r="Z58" s="5" t="n">
        <v>11.1</v>
      </c>
      <c r="AA58" s="5" t="n">
        <v>8.9</v>
      </c>
    </row>
    <row r="59">
      <c r="A59" s="6" t="inlineStr">
        <is>
          <t>N</t>
        </is>
      </c>
      <c r="B59" s="8" t="n">
        <v>28.3</v>
      </c>
      <c r="C59" s="5" t="n">
        <v>23</v>
      </c>
      <c r="D59" s="5" t="n">
        <v>14.3</v>
      </c>
      <c r="E59" s="5" t="n">
        <v>14.2</v>
      </c>
      <c r="F59" s="5" t="n">
        <v>13.6</v>
      </c>
      <c r="G59" s="5" t="n">
        <v>13.6</v>
      </c>
      <c r="H59" s="5" t="n">
        <v>10.7</v>
      </c>
      <c r="I59" s="5" t="n">
        <v>12.3</v>
      </c>
      <c r="J59" s="5" t="n">
        <v>12.7</v>
      </c>
      <c r="K59" s="5" t="n">
        <v>9.4</v>
      </c>
      <c r="L59" s="5" t="n">
        <v>8.1</v>
      </c>
      <c r="M59" s="5" t="n">
        <v>1.5</v>
      </c>
      <c r="N59" s="5" t="n">
        <v>1.7</v>
      </c>
      <c r="O59" s="5" t="n">
        <v>3.2</v>
      </c>
      <c r="P59" s="7" t="n">
        <v>0</v>
      </c>
      <c r="Q59" s="5" t="n">
        <v>2.9</v>
      </c>
      <c r="R59" s="5" t="n">
        <v>9.699999999999999</v>
      </c>
      <c r="S59" s="5" t="n">
        <v>12.4</v>
      </c>
      <c r="T59" s="5" t="n">
        <v>17.6</v>
      </c>
      <c r="U59" s="5" t="n">
        <v>12.1</v>
      </c>
      <c r="V59" s="5" t="n">
        <v>16.8</v>
      </c>
      <c r="W59" s="5" t="n">
        <v>6.8</v>
      </c>
      <c r="X59" s="5" t="n">
        <v>10</v>
      </c>
      <c r="Y59" s="5" t="n">
        <v>13.6</v>
      </c>
      <c r="Z59" s="5" t="n">
        <v>10.7</v>
      </c>
      <c r="AA59" s="5" t="n">
        <v>9.1</v>
      </c>
    </row>
    <row r="60">
      <c r="A60" s="6" t="inlineStr">
        <is>
          <t>O</t>
        </is>
      </c>
      <c r="B60" s="8" t="n">
        <v>25.5</v>
      </c>
      <c r="C60" s="5" t="n">
        <v>18.2</v>
      </c>
      <c r="D60" s="5" t="n">
        <v>11.7</v>
      </c>
      <c r="E60" s="5" t="n">
        <v>11.8</v>
      </c>
      <c r="F60" s="5" t="n">
        <v>11</v>
      </c>
      <c r="G60" s="5" t="n">
        <v>11</v>
      </c>
      <c r="H60" s="5" t="n">
        <v>8.300000000000001</v>
      </c>
      <c r="I60" s="5" t="n">
        <v>10</v>
      </c>
      <c r="J60" s="5" t="n">
        <v>10.3</v>
      </c>
      <c r="K60" s="5" t="n">
        <v>6.8</v>
      </c>
      <c r="L60" s="5" t="n">
        <v>5.4</v>
      </c>
      <c r="M60" s="5" t="n">
        <v>2.3</v>
      </c>
      <c r="N60" s="5" t="n">
        <v>2</v>
      </c>
      <c r="O60" s="5" t="n">
        <v>5.4</v>
      </c>
      <c r="P60" s="5" t="n">
        <v>2.9</v>
      </c>
      <c r="Q60" s="7" t="n">
        <v>0</v>
      </c>
      <c r="R60" s="5" t="n">
        <v>9.699999999999999</v>
      </c>
      <c r="S60" s="5" t="n">
        <v>12.4</v>
      </c>
      <c r="T60" s="5" t="n">
        <v>17.6</v>
      </c>
      <c r="U60" s="5" t="n">
        <v>12.1</v>
      </c>
      <c r="V60" s="5" t="n">
        <v>16.8</v>
      </c>
      <c r="W60" s="5" t="n">
        <v>6.8</v>
      </c>
      <c r="X60" s="5" t="n">
        <v>11.1</v>
      </c>
      <c r="Y60" s="5" t="n">
        <v>13.6</v>
      </c>
      <c r="Z60" s="5" t="n">
        <v>10.7</v>
      </c>
      <c r="AA60" s="5" t="n">
        <v>9.1</v>
      </c>
    </row>
    <row r="61">
      <c r="A61" s="6" t="inlineStr">
        <is>
          <t>P</t>
        </is>
      </c>
      <c r="B61" s="8" t="n">
        <v>38</v>
      </c>
      <c r="C61" s="5" t="n">
        <v>30.7</v>
      </c>
      <c r="D61" s="5" t="n">
        <v>24.1</v>
      </c>
      <c r="E61" s="5" t="n">
        <v>23.9</v>
      </c>
      <c r="F61" s="5" t="n">
        <v>23.4</v>
      </c>
      <c r="G61" s="5" t="n">
        <v>23.4</v>
      </c>
      <c r="H61" s="5" t="n">
        <v>20.4</v>
      </c>
      <c r="I61" s="5" t="n">
        <v>22.1</v>
      </c>
      <c r="J61" s="5" t="n">
        <v>22.4</v>
      </c>
      <c r="K61" s="5" t="n">
        <v>19.2</v>
      </c>
      <c r="L61" s="5" t="n">
        <v>17.4</v>
      </c>
      <c r="M61" s="5" t="n">
        <v>11</v>
      </c>
      <c r="N61" s="5" t="n">
        <v>11</v>
      </c>
      <c r="O61" s="5" t="n">
        <v>7.7</v>
      </c>
      <c r="P61" s="5" t="n">
        <v>9.699999999999999</v>
      </c>
      <c r="Q61" s="5" t="n">
        <v>9.699999999999999</v>
      </c>
      <c r="R61" s="7" t="n">
        <v>0</v>
      </c>
      <c r="S61" s="5" t="n">
        <v>6</v>
      </c>
      <c r="T61" s="5" t="n">
        <v>11.2</v>
      </c>
      <c r="U61" s="5" t="n">
        <v>2</v>
      </c>
      <c r="V61" s="5" t="n">
        <v>6.7</v>
      </c>
      <c r="W61" s="5" t="n">
        <v>14.5</v>
      </c>
      <c r="X61" s="5" t="n">
        <v>20.3</v>
      </c>
      <c r="Y61" s="5" t="n">
        <v>19.2</v>
      </c>
      <c r="Z61" s="5" t="n">
        <v>16.2</v>
      </c>
      <c r="AA61" s="5" t="n">
        <v>14.6</v>
      </c>
    </row>
    <row r="62">
      <c r="A62" s="6" t="inlineStr">
        <is>
          <t>Q</t>
        </is>
      </c>
      <c r="B62" s="8" t="n">
        <v>40.4</v>
      </c>
      <c r="C62" s="5" t="n">
        <v>33</v>
      </c>
      <c r="D62" s="5" t="n">
        <v>26.4</v>
      </c>
      <c r="E62" s="5" t="n">
        <v>26.2</v>
      </c>
      <c r="F62" s="5" t="n">
        <v>25.7</v>
      </c>
      <c r="G62" s="5" t="n">
        <v>25.7</v>
      </c>
      <c r="H62" s="5" t="n">
        <v>22.7</v>
      </c>
      <c r="I62" s="5" t="n">
        <v>24.4</v>
      </c>
      <c r="J62" s="5" t="n">
        <v>24.7</v>
      </c>
      <c r="K62" s="5" t="n">
        <v>21.5</v>
      </c>
      <c r="L62" s="5" t="n">
        <v>20.1</v>
      </c>
      <c r="M62" s="5" t="n">
        <v>13.7</v>
      </c>
      <c r="N62" s="5" t="n">
        <v>14</v>
      </c>
      <c r="O62" s="5" t="n">
        <v>10.2</v>
      </c>
      <c r="P62" s="5" t="n">
        <v>12.4</v>
      </c>
      <c r="Q62" s="5" t="n">
        <v>12.4</v>
      </c>
      <c r="R62" s="5" t="n">
        <v>6</v>
      </c>
      <c r="S62" s="7" t="n">
        <v>0</v>
      </c>
      <c r="T62" s="5" t="n">
        <v>5.2</v>
      </c>
      <c r="U62" s="5" t="n">
        <v>8.1</v>
      </c>
      <c r="V62" s="5" t="n">
        <v>12.3</v>
      </c>
      <c r="W62" s="5" t="n">
        <v>16.5</v>
      </c>
      <c r="X62" s="5" t="n">
        <v>24.5</v>
      </c>
      <c r="Y62" s="5" t="n">
        <v>23</v>
      </c>
      <c r="Z62" s="5" t="n">
        <v>14</v>
      </c>
      <c r="AA62" s="5" t="n">
        <v>13.7</v>
      </c>
    </row>
    <row r="63">
      <c r="A63" s="6" t="inlineStr">
        <is>
          <t>R</t>
        </is>
      </c>
      <c r="B63" s="8" t="n">
        <v>46.3</v>
      </c>
      <c r="C63" s="5" t="n">
        <v>38.3</v>
      </c>
      <c r="D63" s="5" t="n">
        <v>31.6</v>
      </c>
      <c r="E63" s="5" t="n">
        <v>31.5</v>
      </c>
      <c r="F63" s="5" t="n">
        <v>30.9</v>
      </c>
      <c r="G63" s="5" t="n">
        <v>30.9</v>
      </c>
      <c r="H63" s="5" t="n">
        <v>27.9</v>
      </c>
      <c r="I63" s="5" t="n">
        <v>29.6</v>
      </c>
      <c r="J63" s="5" t="n">
        <v>30</v>
      </c>
      <c r="K63" s="5" t="n">
        <v>26.8</v>
      </c>
      <c r="L63" s="5" t="n">
        <v>25.3</v>
      </c>
      <c r="M63" s="5" t="n">
        <v>19.3</v>
      </c>
      <c r="N63" s="5" t="n">
        <v>18.9</v>
      </c>
      <c r="O63" s="5" t="n">
        <v>15.9</v>
      </c>
      <c r="P63" s="5" t="n">
        <v>17.6</v>
      </c>
      <c r="Q63" s="5" t="n">
        <v>17.6</v>
      </c>
      <c r="R63" s="5" t="n">
        <v>11.2</v>
      </c>
      <c r="S63" s="5" t="n">
        <v>5.2</v>
      </c>
      <c r="T63" s="7" t="n">
        <v>0</v>
      </c>
      <c r="U63" s="5" t="n">
        <v>17.2</v>
      </c>
      <c r="V63" s="5" t="n">
        <v>12.7</v>
      </c>
      <c r="W63" s="5" t="n">
        <v>21.3</v>
      </c>
      <c r="X63" s="5" t="n">
        <v>28.2</v>
      </c>
      <c r="Y63" s="5" t="n">
        <v>24</v>
      </c>
      <c r="Z63" s="5" t="n">
        <v>21</v>
      </c>
      <c r="AA63" s="5" t="n">
        <v>19.4</v>
      </c>
    </row>
    <row r="64">
      <c r="A64" s="6" t="inlineStr">
        <is>
          <t>S</t>
        </is>
      </c>
      <c r="B64" s="8" t="n">
        <v>40.4</v>
      </c>
      <c r="C64" s="5" t="n">
        <v>33.1</v>
      </c>
      <c r="D64" s="5" t="n">
        <v>26.4</v>
      </c>
      <c r="E64" s="5" t="n">
        <v>26.2</v>
      </c>
      <c r="F64" s="5" t="n">
        <v>26.9</v>
      </c>
      <c r="G64" s="5" t="n">
        <v>25.7</v>
      </c>
      <c r="H64" s="5" t="n">
        <v>22.7</v>
      </c>
      <c r="I64" s="5" t="n">
        <v>24.4</v>
      </c>
      <c r="J64" s="5" t="n">
        <v>24.8</v>
      </c>
      <c r="K64" s="5" t="n">
        <v>21.2</v>
      </c>
      <c r="L64" s="5" t="n">
        <v>19.8</v>
      </c>
      <c r="M64" s="5" t="n">
        <v>13.4</v>
      </c>
      <c r="N64" s="5" t="n">
        <v>13.3</v>
      </c>
      <c r="O64" s="5" t="n">
        <v>10</v>
      </c>
      <c r="P64" s="5" t="n">
        <v>12.1</v>
      </c>
      <c r="Q64" s="5" t="n">
        <v>12.1</v>
      </c>
      <c r="R64" s="5" t="n">
        <v>2</v>
      </c>
      <c r="S64" s="5" t="n">
        <v>8.1</v>
      </c>
      <c r="T64" s="5" t="n">
        <v>17.2</v>
      </c>
      <c r="U64" s="7" t="n">
        <v>0</v>
      </c>
      <c r="V64" s="5" t="n">
        <v>9.5</v>
      </c>
      <c r="W64" s="5" t="n">
        <v>16.5</v>
      </c>
      <c r="X64" s="5" t="n">
        <v>22.3</v>
      </c>
      <c r="Y64" s="5" t="n">
        <v>21.1</v>
      </c>
      <c r="Z64" s="5" t="n">
        <v>18.2</v>
      </c>
      <c r="AA64" s="5" t="n">
        <v>16.6</v>
      </c>
    </row>
    <row r="65">
      <c r="A65" s="6" t="inlineStr">
        <is>
          <t>T</t>
        </is>
      </c>
      <c r="B65" s="8" t="n">
        <v>45.1</v>
      </c>
      <c r="C65" s="5" t="n">
        <v>37.8</v>
      </c>
      <c r="D65" s="5" t="n">
        <v>31.1</v>
      </c>
      <c r="E65" s="5" t="n">
        <v>30.9</v>
      </c>
      <c r="F65" s="5" t="n">
        <v>30.4</v>
      </c>
      <c r="G65" s="5" t="n">
        <v>30.4</v>
      </c>
      <c r="H65" s="5" t="n">
        <v>27.4</v>
      </c>
      <c r="I65" s="5" t="n">
        <v>29.1</v>
      </c>
      <c r="J65" s="5" t="n">
        <v>29.5</v>
      </c>
      <c r="K65" s="5" t="n">
        <v>26.2</v>
      </c>
      <c r="L65" s="5" t="n">
        <v>24.5</v>
      </c>
      <c r="M65" s="5" t="n">
        <v>18.1</v>
      </c>
      <c r="N65" s="5" t="n">
        <v>18</v>
      </c>
      <c r="O65" s="5" t="n">
        <v>14.7</v>
      </c>
      <c r="P65" s="5" t="n">
        <v>16.8</v>
      </c>
      <c r="Q65" s="5" t="n">
        <v>16.8</v>
      </c>
      <c r="R65" s="5" t="n">
        <v>6.7</v>
      </c>
      <c r="S65" s="5" t="n">
        <v>12.3</v>
      </c>
      <c r="T65" s="5" t="n">
        <v>12.7</v>
      </c>
      <c r="U65" s="5" t="n">
        <v>9.5</v>
      </c>
      <c r="V65" s="7" t="n">
        <v>0</v>
      </c>
      <c r="W65" s="5" t="n">
        <v>28.2</v>
      </c>
      <c r="X65" s="5" t="n">
        <v>27.9</v>
      </c>
      <c r="Y65" s="5" t="n">
        <v>28</v>
      </c>
      <c r="Z65" s="5" t="n">
        <v>11</v>
      </c>
      <c r="AA65" s="5" t="n">
        <v>26.4</v>
      </c>
    </row>
    <row r="66">
      <c r="A66" s="6" t="inlineStr">
        <is>
          <t>U</t>
        </is>
      </c>
      <c r="B66" s="8" t="n">
        <v>25.1</v>
      </c>
      <c r="C66" s="5" t="n">
        <v>17.8</v>
      </c>
      <c r="D66" s="5" t="n">
        <v>11.7</v>
      </c>
      <c r="E66" s="5" t="n">
        <v>10.3</v>
      </c>
      <c r="F66" s="5" t="n">
        <v>11</v>
      </c>
      <c r="G66" s="5" t="n">
        <v>11</v>
      </c>
      <c r="H66" s="5" t="n">
        <v>10.2</v>
      </c>
      <c r="I66" s="5" t="n">
        <v>12</v>
      </c>
      <c r="J66" s="5" t="n">
        <v>12.4</v>
      </c>
      <c r="K66" s="5" t="n">
        <v>8.300000000000001</v>
      </c>
      <c r="L66" s="5" t="n">
        <v>7.6</v>
      </c>
      <c r="M66" s="5" t="n">
        <v>9.800000000000001</v>
      </c>
      <c r="N66" s="5" t="n">
        <v>5.6</v>
      </c>
      <c r="O66" s="5" t="n">
        <v>8.699999999999999</v>
      </c>
      <c r="P66" s="5" t="n">
        <v>6.8</v>
      </c>
      <c r="Q66" s="5" t="n">
        <v>6.8</v>
      </c>
      <c r="R66" s="5" t="n">
        <v>14.5</v>
      </c>
      <c r="S66" s="5" t="n">
        <v>16.5</v>
      </c>
      <c r="T66" s="5" t="n">
        <v>21.3</v>
      </c>
      <c r="U66" s="5" t="n">
        <v>16.5</v>
      </c>
      <c r="V66" s="5" t="n">
        <v>28.2</v>
      </c>
      <c r="W66" s="7" t="n">
        <v>0</v>
      </c>
      <c r="X66" s="5" t="n">
        <v>8</v>
      </c>
      <c r="Y66" s="5" t="n">
        <v>8.5</v>
      </c>
      <c r="Z66" s="5" t="n">
        <v>7.5</v>
      </c>
      <c r="AA66" s="5" t="n">
        <v>3.5</v>
      </c>
    </row>
    <row r="67">
      <c r="A67" s="6" t="inlineStr">
        <is>
          <t>V</t>
        </is>
      </c>
      <c r="B67" s="8" t="n">
        <v>19.3</v>
      </c>
      <c r="C67" s="5" t="n">
        <v>12</v>
      </c>
      <c r="D67" s="5" t="n">
        <v>5.6</v>
      </c>
      <c r="E67" s="5" t="n">
        <v>5.1</v>
      </c>
      <c r="F67" s="5" t="n">
        <v>4.9</v>
      </c>
      <c r="G67" s="5" t="n">
        <v>4.9</v>
      </c>
      <c r="H67" s="5" t="n">
        <v>4.9</v>
      </c>
      <c r="I67" s="5" t="n">
        <v>6.6</v>
      </c>
      <c r="J67" s="5" t="n">
        <v>6.9</v>
      </c>
      <c r="K67" s="5" t="n">
        <v>1.1</v>
      </c>
      <c r="L67" s="5" t="n">
        <v>5.1</v>
      </c>
      <c r="M67" s="5" t="n">
        <v>14.9</v>
      </c>
      <c r="N67" s="5" t="n">
        <v>9.4</v>
      </c>
      <c r="O67" s="5" t="n">
        <v>13.6</v>
      </c>
      <c r="P67" s="5" t="n">
        <v>10</v>
      </c>
      <c r="Q67" s="5" t="n">
        <v>11.1</v>
      </c>
      <c r="R67" s="5" t="n">
        <v>20.3</v>
      </c>
      <c r="S67" s="5" t="n">
        <v>24.5</v>
      </c>
      <c r="T67" s="5" t="n">
        <v>28.2</v>
      </c>
      <c r="U67" s="5" t="n">
        <v>22.3</v>
      </c>
      <c r="V67" s="5" t="n">
        <v>27.9</v>
      </c>
      <c r="W67" s="5" t="n">
        <v>8</v>
      </c>
      <c r="X67" s="7" t="n">
        <v>0</v>
      </c>
      <c r="Y67" s="5" t="n">
        <v>14.4</v>
      </c>
      <c r="Z67" s="5" t="n">
        <v>13.7</v>
      </c>
      <c r="AA67" s="5" t="n">
        <v>11.6</v>
      </c>
    </row>
    <row r="68">
      <c r="A68" s="6" t="inlineStr">
        <is>
          <t>W</t>
        </is>
      </c>
      <c r="B68" s="8" t="n">
        <v>29</v>
      </c>
      <c r="C68" s="5" t="n">
        <v>21.6</v>
      </c>
      <c r="D68" s="5" t="n">
        <v>18.9</v>
      </c>
      <c r="E68" s="5" t="n">
        <v>16</v>
      </c>
      <c r="F68" s="5" t="n">
        <v>18.2</v>
      </c>
      <c r="G68" s="5" t="n">
        <v>16</v>
      </c>
      <c r="H68" s="5" t="n">
        <v>15.2</v>
      </c>
      <c r="I68" s="5" t="n">
        <v>16.9</v>
      </c>
      <c r="J68" s="5" t="n">
        <v>17.3</v>
      </c>
      <c r="K68" s="5" t="n">
        <v>13</v>
      </c>
      <c r="L68" s="5" t="n">
        <v>15.7</v>
      </c>
      <c r="M68" s="5" t="n">
        <v>18.9</v>
      </c>
      <c r="N68" s="5" t="n">
        <v>14.9</v>
      </c>
      <c r="O68" s="5" t="n">
        <v>14.1</v>
      </c>
      <c r="P68" s="5" t="n">
        <v>13.6</v>
      </c>
      <c r="Q68" s="5" t="n">
        <v>13.6</v>
      </c>
      <c r="R68" s="5" t="n">
        <v>19.2</v>
      </c>
      <c r="S68" s="5" t="n">
        <v>23</v>
      </c>
      <c r="T68" s="5" t="n">
        <v>24</v>
      </c>
      <c r="U68" s="5" t="n">
        <v>21.1</v>
      </c>
      <c r="V68" s="5" t="n">
        <v>28</v>
      </c>
      <c r="W68" s="5" t="n">
        <v>8.5</v>
      </c>
      <c r="X68" s="5" t="n">
        <v>14.4</v>
      </c>
      <c r="Y68" s="7" t="n">
        <v>0</v>
      </c>
      <c r="Z68" s="5" t="n">
        <v>3.3</v>
      </c>
      <c r="AA68" s="5" t="n">
        <v>8</v>
      </c>
    </row>
    <row r="69">
      <c r="A69" s="6" t="inlineStr">
        <is>
          <t>X</t>
        </is>
      </c>
      <c r="B69" s="8" t="n">
        <v>27.9</v>
      </c>
      <c r="C69" s="5" t="n">
        <v>20.9</v>
      </c>
      <c r="D69" s="5" t="n">
        <v>16.6</v>
      </c>
      <c r="E69" s="5" t="n">
        <v>14.4</v>
      </c>
      <c r="F69" s="5" t="n">
        <v>15.9</v>
      </c>
      <c r="G69" s="5" t="n">
        <v>15.9</v>
      </c>
      <c r="H69" s="5" t="n">
        <v>15.1</v>
      </c>
      <c r="I69" s="5" t="n">
        <v>16.9</v>
      </c>
      <c r="J69" s="5" t="n">
        <v>17.2</v>
      </c>
      <c r="K69" s="5" t="n">
        <v>12.9</v>
      </c>
      <c r="L69" s="5" t="n">
        <v>18.4</v>
      </c>
      <c r="M69" s="5" t="n">
        <v>12</v>
      </c>
      <c r="N69" s="5" t="n">
        <v>11.9</v>
      </c>
      <c r="O69" s="5" t="n">
        <v>11.1</v>
      </c>
      <c r="P69" s="5" t="n">
        <v>10.7</v>
      </c>
      <c r="Q69" s="5" t="n">
        <v>10.7</v>
      </c>
      <c r="R69" s="5" t="n">
        <v>16.2</v>
      </c>
      <c r="S69" s="5" t="n">
        <v>14</v>
      </c>
      <c r="T69" s="5" t="n">
        <v>21</v>
      </c>
      <c r="U69" s="5" t="n">
        <v>18.2</v>
      </c>
      <c r="V69" s="5" t="n">
        <v>11</v>
      </c>
      <c r="W69" s="5" t="n">
        <v>7.5</v>
      </c>
      <c r="X69" s="5" t="n">
        <v>13.7</v>
      </c>
      <c r="Y69" s="5" t="n">
        <v>3.3</v>
      </c>
      <c r="Z69" s="7" t="n">
        <v>0</v>
      </c>
      <c r="AA69" s="5" t="n">
        <v>5.5</v>
      </c>
    </row>
    <row r="70">
      <c r="A70" s="6" t="inlineStr">
        <is>
          <t>Y</t>
        </is>
      </c>
      <c r="B70" s="8" t="n">
        <v>26.9</v>
      </c>
      <c r="C70" s="5" t="n">
        <v>19.6</v>
      </c>
      <c r="D70" s="5" t="n">
        <v>15.7</v>
      </c>
      <c r="E70" s="5" t="n">
        <v>12.8</v>
      </c>
      <c r="F70" s="5" t="n">
        <v>14.3</v>
      </c>
      <c r="G70" s="5" t="n">
        <v>15</v>
      </c>
      <c r="H70" s="5" t="n">
        <v>12.8</v>
      </c>
      <c r="I70" s="5" t="n">
        <v>14.5</v>
      </c>
      <c r="J70" s="5" t="n">
        <v>14.8</v>
      </c>
      <c r="K70" s="5" t="n">
        <v>10.8</v>
      </c>
      <c r="L70" s="5" t="n">
        <v>10.2</v>
      </c>
      <c r="M70" s="5" t="n">
        <v>9.699999999999999</v>
      </c>
      <c r="N70" s="5" t="n">
        <v>10.3</v>
      </c>
      <c r="O70" s="5" t="n">
        <v>8.9</v>
      </c>
      <c r="P70" s="5" t="n">
        <v>9.1</v>
      </c>
      <c r="Q70" s="5" t="n">
        <v>9.1</v>
      </c>
      <c r="R70" s="5" t="n">
        <v>14.6</v>
      </c>
      <c r="S70" s="5" t="n">
        <v>13.7</v>
      </c>
      <c r="T70" s="5" t="n">
        <v>19.4</v>
      </c>
      <c r="U70" s="5" t="n">
        <v>16.6</v>
      </c>
      <c r="V70" s="5" t="n">
        <v>26.4</v>
      </c>
      <c r="W70" s="5" t="n">
        <v>3.5</v>
      </c>
      <c r="X70" s="5" t="n">
        <v>11.6</v>
      </c>
      <c r="Y70" s="5" t="n">
        <v>8</v>
      </c>
      <c r="Z70" s="5" t="n">
        <v>5.5</v>
      </c>
      <c r="AA70" s="7" t="n">
        <v>0</v>
      </c>
    </row>
  </sheetData>
  <mergeCells count="6">
    <mergeCell ref="G2:I2"/>
    <mergeCell ref="A43:AA43"/>
    <mergeCell ref="R7:R8"/>
    <mergeCell ref="G3:I3"/>
    <mergeCell ref="K34:M34"/>
    <mergeCell ref="U7:U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A70"/>
  <sheetViews>
    <sheetView zoomScale="66" zoomScaleNormal="55" workbookViewId="0">
      <selection activeCell="AE59" sqref="AE59"/>
    </sheetView>
  </sheetViews>
  <sheetFormatPr baseColWidth="8" defaultRowHeight="14.5"/>
  <cols>
    <col width="17.81640625" customWidth="1" min="3" max="3"/>
    <col width="13.54296875" customWidth="1" min="4" max="4"/>
    <col width="12.08984375" customWidth="1" min="11" max="11"/>
    <col width="16.54296875" customWidth="1" min="13" max="13"/>
    <col width="18.1796875" customWidth="1" min="14" max="14"/>
    <col width="16.08984375" customWidth="1" min="18" max="18"/>
    <col width="10.36328125" customWidth="1" min="19" max="19"/>
    <col width="15" customWidth="1" min="21" max="21"/>
  </cols>
  <sheetData>
    <row r="2">
      <c r="G2" s="87" t="inlineStr">
        <is>
          <t>CDD (COLT DIESEL DOUBLE)</t>
        </is>
      </c>
      <c r="H2" s="136" t="n"/>
      <c r="I2" s="137" t="n"/>
    </row>
    <row r="3">
      <c r="G3" s="87" t="inlineStr">
        <is>
          <t>5 TON</t>
        </is>
      </c>
      <c r="H3" s="136" t="n"/>
      <c r="I3" s="137" t="n"/>
    </row>
    <row r="4">
      <c r="K4" s="8" t="inlineStr">
        <is>
          <t>TRUK</t>
        </is>
      </c>
      <c r="L4" s="8" t="n">
        <v>2</v>
      </c>
    </row>
    <row r="5">
      <c r="K5" s="8" t="inlineStr">
        <is>
          <t>KAPASITAS</t>
        </is>
      </c>
      <c r="L5" s="8" t="n">
        <v>5000</v>
      </c>
    </row>
    <row r="7">
      <c r="K7" s="8" t="inlineStr">
        <is>
          <t>RUTE</t>
        </is>
      </c>
      <c r="L7" s="8" t="inlineStr">
        <is>
          <t>TRUK</t>
        </is>
      </c>
      <c r="M7" s="8" t="inlineStr">
        <is>
          <t>RUTE TIAP TRUK</t>
        </is>
      </c>
      <c r="N7" s="8" t="inlineStr">
        <is>
          <t>WAKTU</t>
        </is>
      </c>
      <c r="O7" s="8" t="inlineStr">
        <is>
          <t>ORDER</t>
        </is>
      </c>
      <c r="R7" s="88" t="inlineStr">
        <is>
          <t>TOTAL WAKTU (MENIT)</t>
        </is>
      </c>
      <c r="S7" s="8" t="n"/>
      <c r="U7" s="88" t="inlineStr">
        <is>
          <t>TOTAL LOAD</t>
        </is>
      </c>
      <c r="V7" s="8" t="n"/>
    </row>
    <row r="8">
      <c r="K8" s="5" t="n">
        <v>0</v>
      </c>
      <c r="L8" s="8" t="n"/>
      <c r="M8" s="8" t="n">
        <v>0</v>
      </c>
      <c r="N8" s="8" t="n"/>
      <c r="O8" s="8" t="n"/>
      <c r="R8" s="135" t="n"/>
      <c r="S8" s="8">
        <f>N34</f>
        <v/>
      </c>
      <c r="U8" s="135" t="n"/>
      <c r="V8" s="8">
        <f>O34</f>
        <v/>
      </c>
    </row>
    <row r="9">
      <c r="J9" s="5" t="inlineStr">
        <is>
          <t>A</t>
        </is>
      </c>
      <c r="K9" s="5" t="n">
        <v>1</v>
      </c>
      <c r="L9" s="8" t="n">
        <v>2</v>
      </c>
      <c r="M9" s="8">
        <f>IF($L$4=L9,K9,$M$8)</f>
        <v/>
      </c>
      <c r="N9" s="8">
        <f t="array" ref="N9">INDEX($B$45:$AA$70,M8+1,M9+1)</f>
        <v/>
      </c>
      <c r="O9" s="8">
        <f>IF(L9=$L$4,VLOOKUP(K9,$B$16:$D$40,3,FALSE),0)</f>
        <v/>
      </c>
      <c r="R9" s="8" t="n">
        <v>1</v>
      </c>
      <c r="S9" s="8">
        <f t="dataTable" ref="S9:S11" dt2D="0" dtr="0" r1="L4"/>
        <v/>
      </c>
      <c r="U9" s="8" t="n">
        <v>1</v>
      </c>
      <c r="V9" s="8">
        <f t="dataTable" ref="V9:V11" dt2D="0" dtr="0" r1="L4"/>
        <v/>
      </c>
    </row>
    <row r="10">
      <c r="J10" s="5" t="inlineStr">
        <is>
          <t>B</t>
        </is>
      </c>
      <c r="K10" s="5" t="n">
        <v>2</v>
      </c>
      <c r="L10" s="8" t="n">
        <v>2</v>
      </c>
      <c r="M10" s="8">
        <f>IF($L$4=L10,K10,$M$8)</f>
        <v/>
      </c>
      <c r="N10" s="8">
        <f t="array" ref="N10">INDEX($B$45:$AA$70,M9+1,M10+1)</f>
        <v/>
      </c>
      <c r="O10" s="8">
        <f>IF(L10=$L$4,VLOOKUP(K10,$B$16:$D$40,3,FALSE),0)</f>
        <v/>
      </c>
      <c r="R10" s="8" t="n">
        <v>2</v>
      </c>
      <c r="S10" s="8" t="n">
        <v>299</v>
      </c>
      <c r="U10" s="8" t="n">
        <v>2</v>
      </c>
      <c r="V10" s="8" t="n">
        <v>3670</v>
      </c>
    </row>
    <row r="11">
      <c r="J11" s="5" t="inlineStr">
        <is>
          <t>C</t>
        </is>
      </c>
      <c r="K11" s="5" t="n">
        <v>3</v>
      </c>
      <c r="L11" s="8" t="n">
        <v>2</v>
      </c>
      <c r="M11" s="8">
        <f>IF($L$4=L11,K11,$M$8)</f>
        <v/>
      </c>
      <c r="N11" s="8">
        <f t="array" ref="N11">INDEX($B$45:$AA$70,M10+1,M11+1)</f>
        <v/>
      </c>
      <c r="O11" s="8">
        <f>IF(L11=$L$4,VLOOKUP(K11,$B$16:$D$40,3,FALSE),0)</f>
        <v/>
      </c>
      <c r="R11" s="8" t="n">
        <v>3</v>
      </c>
      <c r="S11" s="8" t="n">
        <v>299</v>
      </c>
      <c r="U11" s="8" t="n">
        <v>3</v>
      </c>
      <c r="V11" s="8" t="n">
        <v>1880</v>
      </c>
    </row>
    <row r="12">
      <c r="J12" s="5" t="inlineStr">
        <is>
          <t>D</t>
        </is>
      </c>
      <c r="K12" s="5" t="n">
        <v>4</v>
      </c>
      <c r="L12" s="8" t="n">
        <v>1</v>
      </c>
      <c r="M12" s="8">
        <f>IF($L$4=L12,K12,$M$8)</f>
        <v/>
      </c>
      <c r="N12" s="8">
        <f t="array" ref="N12">INDEX($B$45:$AA$70,M11+1,M12+1)</f>
        <v/>
      </c>
      <c r="O12" s="8">
        <f>IF(L12=$L$4,VLOOKUP(K12,$B$16:$D$40,3,FALSE),0)</f>
        <v/>
      </c>
    </row>
    <row r="13">
      <c r="J13" s="5" t="inlineStr">
        <is>
          <t>E</t>
        </is>
      </c>
      <c r="K13" s="5" t="n">
        <v>5</v>
      </c>
      <c r="L13" s="8" t="n">
        <v>1</v>
      </c>
      <c r="M13" s="8">
        <f>IF($L$4=L13,K13,$M$8)</f>
        <v/>
      </c>
      <c r="N13" s="8">
        <f t="array" ref="N13">INDEX($B$45:$AA$70,M12+1,M13+1)</f>
        <v/>
      </c>
      <c r="O13" s="8">
        <f>IF(L13=$L$4,VLOOKUP(K13,$B$16:$D$40,3,FALSE),0)</f>
        <v/>
      </c>
    </row>
    <row r="14" ht="29" customHeight="1">
      <c r="A14" s="4" t="inlineStr">
        <is>
          <t>Kode</t>
        </is>
      </c>
      <c r="B14" s="4" t="inlineStr">
        <is>
          <t>Kode</t>
        </is>
      </c>
      <c r="C14" s="4" t="inlineStr">
        <is>
          <t>Lokasi</t>
        </is>
      </c>
      <c r="D14" s="4" t="inlineStr">
        <is>
          <t>Permintaan (kg)</t>
        </is>
      </c>
      <c r="J14" s="5" t="inlineStr">
        <is>
          <t>F</t>
        </is>
      </c>
      <c r="K14" s="5" t="n">
        <v>6</v>
      </c>
      <c r="L14" s="8" t="n">
        <v>1</v>
      </c>
      <c r="M14" s="8">
        <f>IF($L$4=L14,K14,$M$8)</f>
        <v/>
      </c>
      <c r="N14" s="8">
        <f t="array" ref="N14">INDEX($B$45:$AA$70,M13+1,M14+1)</f>
        <v/>
      </c>
      <c r="O14" s="8">
        <f>IF(L14=$L$4,VLOOKUP(K14,$B$16:$D$40,3,FALSE),0)</f>
        <v/>
      </c>
    </row>
    <row r="15">
      <c r="A15" s="8" t="n"/>
      <c r="B15" s="5" t="n">
        <v>0</v>
      </c>
      <c r="C15" s="5" t="inlineStr">
        <is>
          <t>Gudang</t>
        </is>
      </c>
      <c r="D15" s="5" t="n">
        <v>0</v>
      </c>
      <c r="J15" s="5" t="inlineStr">
        <is>
          <t>G</t>
        </is>
      </c>
      <c r="K15" s="5" t="n">
        <v>7</v>
      </c>
      <c r="L15" s="8" t="n">
        <v>1</v>
      </c>
      <c r="M15" s="8">
        <f>IF($L$4=L15,K15,$M$8)</f>
        <v/>
      </c>
      <c r="N15" s="8">
        <f t="array" ref="N15">INDEX($B$45:$AA$70,M14+1,M15+1)</f>
        <v/>
      </c>
      <c r="O15" s="8">
        <f>IF(L15=$L$4,VLOOKUP(K15,$B$16:$D$40,3,FALSE),0)</f>
        <v/>
      </c>
    </row>
    <row r="16">
      <c r="A16" s="5" t="inlineStr">
        <is>
          <t>A</t>
        </is>
      </c>
      <c r="B16" s="5" t="n">
        <v>1</v>
      </c>
      <c r="C16" s="5" t="inlineStr">
        <is>
          <t>Mengwi</t>
        </is>
      </c>
      <c r="D16" s="5" t="n">
        <v>350</v>
      </c>
      <c r="J16" s="5" t="inlineStr">
        <is>
          <t>H</t>
        </is>
      </c>
      <c r="K16" s="5" t="n">
        <v>8</v>
      </c>
      <c r="L16" s="8" t="n">
        <v>1</v>
      </c>
      <c r="M16" s="8">
        <f>IF($L$4=L16,K16,$M$8)</f>
        <v/>
      </c>
      <c r="N16" s="8">
        <f t="array" ref="N16">INDEX($B$45:$AA$70,M15+1,M16+1)</f>
        <v/>
      </c>
      <c r="O16" s="8">
        <f>IF(L16=$L$4,VLOOKUP(K16,$B$16:$D$40,3,FALSE),0)</f>
        <v/>
      </c>
    </row>
    <row r="17">
      <c r="A17" s="5" t="inlineStr">
        <is>
          <t>B</t>
        </is>
      </c>
      <c r="B17" s="5" t="n">
        <v>2</v>
      </c>
      <c r="C17" s="5" t="inlineStr">
        <is>
          <t>Buduk</t>
        </is>
      </c>
      <c r="D17" s="5" t="n">
        <v>280</v>
      </c>
      <c r="J17" s="5" t="inlineStr">
        <is>
          <t>I</t>
        </is>
      </c>
      <c r="K17" s="5" t="n">
        <v>9</v>
      </c>
      <c r="L17" s="8" t="n">
        <v>1</v>
      </c>
      <c r="M17" s="8">
        <f>IF($L$4=L17,K17,$M$8)</f>
        <v/>
      </c>
      <c r="N17" s="8">
        <f t="array" ref="N17">INDEX($B$45:$AA$70,M16+1,M17+1)</f>
        <v/>
      </c>
      <c r="O17" s="8">
        <f>IF(L17=$L$4,VLOOKUP(K17,$B$16:$D$40,3,FALSE),0)</f>
        <v/>
      </c>
    </row>
    <row r="18">
      <c r="A18" s="5" t="inlineStr">
        <is>
          <t>C</t>
        </is>
      </c>
      <c r="B18" s="5" t="n">
        <v>3</v>
      </c>
      <c r="C18" s="5" t="inlineStr">
        <is>
          <t>Sempidi</t>
        </is>
      </c>
      <c r="D18" s="5" t="n">
        <v>320</v>
      </c>
      <c r="J18" s="5" t="inlineStr">
        <is>
          <t>J</t>
        </is>
      </c>
      <c r="K18" s="5" t="n">
        <v>10</v>
      </c>
      <c r="L18" s="8" t="n">
        <v>3</v>
      </c>
      <c r="M18" s="8">
        <f>IF($L$4=L18,K18,$M$8)</f>
        <v/>
      </c>
      <c r="N18" s="8">
        <f t="array" ref="N18">INDEX($B$45:$AA$70,M17+1,M18+1)</f>
        <v/>
      </c>
      <c r="O18" s="8">
        <f>IF(L18=$L$4,VLOOKUP(K18,$B$16:$D$40,3,FALSE),0)</f>
        <v/>
      </c>
    </row>
    <row r="19">
      <c r="A19" s="5" t="inlineStr">
        <is>
          <t>D</t>
        </is>
      </c>
      <c r="B19" s="5" t="n">
        <v>4</v>
      </c>
      <c r="C19" s="5" t="inlineStr">
        <is>
          <t>Dalung</t>
        </is>
      </c>
      <c r="D19" s="5" t="n">
        <v>400</v>
      </c>
      <c r="J19" s="5" t="inlineStr">
        <is>
          <t>K</t>
        </is>
      </c>
      <c r="K19" s="5" t="n">
        <v>11</v>
      </c>
      <c r="L19" s="8" t="n">
        <v>3</v>
      </c>
      <c r="M19" s="8">
        <f>IF($L$4=L19,K19,$M$8)</f>
        <v/>
      </c>
      <c r="N19" s="8">
        <f t="array" ref="N19">INDEX($B$45:$AA$70,M18+1,M19+1)</f>
        <v/>
      </c>
      <c r="O19" s="8">
        <f>IF(L19=$L$4,VLOOKUP(K19,$B$16:$D$40,3,FALSE),0)</f>
        <v/>
      </c>
    </row>
    <row r="20">
      <c r="A20" s="5" t="inlineStr">
        <is>
          <t>E</t>
        </is>
      </c>
      <c r="B20" s="5" t="n">
        <v>5</v>
      </c>
      <c r="C20" s="5" t="inlineStr">
        <is>
          <t>Tibubeneng</t>
        </is>
      </c>
      <c r="D20" s="5" t="n">
        <v>450</v>
      </c>
      <c r="J20" s="5" t="inlineStr">
        <is>
          <t>L</t>
        </is>
      </c>
      <c r="K20" s="5" t="n">
        <v>12</v>
      </c>
      <c r="L20" s="8" t="n">
        <v>3</v>
      </c>
      <c r="M20" s="8">
        <f>IF($L$4=L20,K20,$M$8)</f>
        <v/>
      </c>
      <c r="N20" s="8">
        <f t="array" ref="N20">INDEX($B$45:$AA$70,M19+1,M20+1)</f>
        <v/>
      </c>
      <c r="O20" s="8">
        <f>IF(L20=$L$4,VLOOKUP(K20,$B$16:$D$40,3,FALSE),0)</f>
        <v/>
      </c>
    </row>
    <row r="21">
      <c r="A21" s="5" t="inlineStr">
        <is>
          <t>F</t>
        </is>
      </c>
      <c r="B21" s="5" t="n">
        <v>6</v>
      </c>
      <c r="C21" s="5" t="inlineStr">
        <is>
          <t>Berawa</t>
        </is>
      </c>
      <c r="D21" s="5" t="n">
        <v>500</v>
      </c>
      <c r="J21" s="5" t="inlineStr">
        <is>
          <t>M</t>
        </is>
      </c>
      <c r="K21" s="5" t="n">
        <v>13</v>
      </c>
      <c r="L21" s="8" t="n">
        <v>3</v>
      </c>
      <c r="M21" s="8">
        <f>IF($L$4=L21,K21,$M$8)</f>
        <v/>
      </c>
      <c r="N21" s="8">
        <f t="array" ref="N21">INDEX($B$45:$AA$70,M20+1,M21+1)</f>
        <v/>
      </c>
      <c r="O21" s="8">
        <f>IF(L21=$L$4,VLOOKUP(K21,$B$16:$D$40,3,FALSE),0)</f>
        <v/>
      </c>
    </row>
    <row r="22">
      <c r="A22" s="5" t="inlineStr">
        <is>
          <t>G</t>
        </is>
      </c>
      <c r="B22" s="5" t="n">
        <v>7</v>
      </c>
      <c r="C22" s="5" t="inlineStr">
        <is>
          <t>Batu Bolong</t>
        </is>
      </c>
      <c r="D22" s="5" t="n">
        <v>480</v>
      </c>
      <c r="J22" s="5" t="inlineStr">
        <is>
          <t>N</t>
        </is>
      </c>
      <c r="K22" s="5" t="n">
        <v>14</v>
      </c>
      <c r="L22" s="8" t="n">
        <v>2</v>
      </c>
      <c r="M22" s="8">
        <f>IF($L$4=L22,K22,$M$8)</f>
        <v/>
      </c>
      <c r="N22" s="8">
        <f t="array" ref="N22">INDEX($B$45:$AA$70,M21+1,M22+1)</f>
        <v/>
      </c>
      <c r="O22" s="8">
        <f>IF(L22=$L$4,VLOOKUP(K22,$B$16:$D$40,3,FALSE),0)</f>
        <v/>
      </c>
    </row>
    <row r="23">
      <c r="A23" s="5" t="inlineStr">
        <is>
          <t>H</t>
        </is>
      </c>
      <c r="B23" s="5" t="n">
        <v>8</v>
      </c>
      <c r="C23" s="5" t="inlineStr">
        <is>
          <t>Pererenan</t>
        </is>
      </c>
      <c r="D23" s="5" t="n">
        <v>300</v>
      </c>
      <c r="J23" s="5" t="inlineStr">
        <is>
          <t>O</t>
        </is>
      </c>
      <c r="K23" s="5" t="n">
        <v>15</v>
      </c>
      <c r="L23" s="8" t="n">
        <v>2</v>
      </c>
      <c r="M23" s="8">
        <f>IF($L$4=L23,K23,$M$8)</f>
        <v/>
      </c>
      <c r="N23" s="8">
        <f t="array" ref="N23">INDEX($B$45:$AA$70,M22+1,M23+1)</f>
        <v/>
      </c>
      <c r="O23" s="8">
        <f>IF(L23=$L$4,VLOOKUP(K23,$B$16:$D$40,3,FALSE),0)</f>
        <v/>
      </c>
    </row>
    <row r="24">
      <c r="A24" s="5" t="inlineStr">
        <is>
          <t>I</t>
        </is>
      </c>
      <c r="B24" s="5" t="n">
        <v>9</v>
      </c>
      <c r="C24" s="5" t="inlineStr">
        <is>
          <t>Kerobokan</t>
        </is>
      </c>
      <c r="D24" s="5" t="n">
        <v>420</v>
      </c>
      <c r="J24" s="5" t="inlineStr">
        <is>
          <t>P</t>
        </is>
      </c>
      <c r="K24" s="5" t="n">
        <v>16</v>
      </c>
      <c r="L24" s="8" t="n">
        <v>2</v>
      </c>
      <c r="M24" s="8">
        <f>IF($L$4=L24,K24,$M$8)</f>
        <v/>
      </c>
      <c r="N24" s="8">
        <f t="array" ref="N24">INDEX($B$45:$AA$70,M23+1,M24+1)</f>
        <v/>
      </c>
      <c r="O24" s="8">
        <f>IF(L24=$L$4,VLOOKUP(K24,$B$16:$D$40,3,FALSE),0)</f>
        <v/>
      </c>
    </row>
    <row r="25">
      <c r="A25" s="5" t="inlineStr">
        <is>
          <t>J</t>
        </is>
      </c>
      <c r="B25" s="5" t="n">
        <v>10</v>
      </c>
      <c r="C25" s="5" t="inlineStr">
        <is>
          <t>Umalas</t>
        </is>
      </c>
      <c r="D25" s="5" t="n">
        <v>380</v>
      </c>
      <c r="J25" s="5" t="inlineStr">
        <is>
          <t>Q</t>
        </is>
      </c>
      <c r="K25" s="5" t="n">
        <v>17</v>
      </c>
      <c r="L25" s="8" t="n">
        <v>2</v>
      </c>
      <c r="M25" s="8">
        <f>IF($L$4=L25,K25,$M$8)</f>
        <v/>
      </c>
      <c r="N25" s="8">
        <f t="array" ref="N25">INDEX($B$45:$AA$70,M24+1,M25+1)</f>
        <v/>
      </c>
      <c r="O25" s="8">
        <f>IF(L25=$L$4,VLOOKUP(K25,$B$16:$D$40,3,FALSE),0)</f>
        <v/>
      </c>
    </row>
    <row r="26">
      <c r="A26" s="5" t="inlineStr">
        <is>
          <t>K</t>
        </is>
      </c>
      <c r="B26" s="5" t="n">
        <v>11</v>
      </c>
      <c r="C26" s="5" t="inlineStr">
        <is>
          <t>Nakula</t>
        </is>
      </c>
      <c r="D26" s="5" t="n">
        <v>440</v>
      </c>
      <c r="J26" s="5" t="inlineStr">
        <is>
          <t>R</t>
        </is>
      </c>
      <c r="K26" s="5" t="n">
        <v>18</v>
      </c>
      <c r="L26" s="8" t="n">
        <v>2</v>
      </c>
      <c r="M26" s="8">
        <f>IF($L$4=L26,K26,$M$8)</f>
        <v/>
      </c>
      <c r="N26" s="8">
        <f t="array" ref="N26">INDEX($B$45:$AA$70,M25+1,M26+1)</f>
        <v/>
      </c>
      <c r="O26" s="8">
        <f>IF(L26=$L$4,VLOOKUP(K26,$B$16:$D$40,3,FALSE),0)</f>
        <v/>
      </c>
    </row>
    <row r="27">
      <c r="A27" s="5" t="inlineStr">
        <is>
          <t>L</t>
        </is>
      </c>
      <c r="B27" s="5" t="n">
        <v>12</v>
      </c>
      <c r="C27" s="5" t="inlineStr">
        <is>
          <t>Dewi Sri</t>
        </is>
      </c>
      <c r="D27" s="5" t="n">
        <v>460</v>
      </c>
      <c r="J27" s="5" t="inlineStr">
        <is>
          <t>S</t>
        </is>
      </c>
      <c r="K27" s="5" t="n">
        <v>19</v>
      </c>
      <c r="L27" s="8" t="n">
        <v>2</v>
      </c>
      <c r="M27" s="8">
        <f>IF($L$4=L27,K27,$M$8)</f>
        <v/>
      </c>
      <c r="N27" s="8">
        <f t="array" ref="N27">INDEX($B$45:$AA$70,M26+1,M27+1)</f>
        <v/>
      </c>
      <c r="O27" s="8">
        <f>IF(L27=$L$4,VLOOKUP(K27,$B$16:$D$40,3,FALSE),0)</f>
        <v/>
      </c>
    </row>
    <row r="28">
      <c r="A28" s="5" t="inlineStr">
        <is>
          <t>M</t>
        </is>
      </c>
      <c r="B28" s="5" t="n">
        <v>13</v>
      </c>
      <c r="C28" s="5" t="inlineStr">
        <is>
          <t>Kuta</t>
        </is>
      </c>
      <c r="D28" s="5" t="n">
        <v>600</v>
      </c>
      <c r="J28" s="5" t="inlineStr">
        <is>
          <t>T</t>
        </is>
      </c>
      <c r="K28" s="5" t="n">
        <v>20</v>
      </c>
      <c r="L28" s="8" t="n">
        <v>2</v>
      </c>
      <c r="M28" s="8">
        <f>IF($L$4=L28,K28,$M$8)</f>
        <v/>
      </c>
      <c r="N28" s="8">
        <f t="array" ref="N28">INDEX($B$45:$AA$70,M27+1,M28+1)</f>
        <v/>
      </c>
      <c r="O28" s="8">
        <f>IF(L28=$L$4,VLOOKUP(K28,$B$16:$D$40,3,FALSE),0)</f>
        <v/>
      </c>
    </row>
    <row r="29">
      <c r="A29" s="5" t="inlineStr">
        <is>
          <t>N</t>
        </is>
      </c>
      <c r="B29" s="5" t="n">
        <v>14</v>
      </c>
      <c r="C29" s="5" t="inlineStr">
        <is>
          <t>Sunset Road</t>
        </is>
      </c>
      <c r="D29" s="5" t="n">
        <v>550</v>
      </c>
      <c r="J29" s="5" t="inlineStr">
        <is>
          <t>U</t>
        </is>
      </c>
      <c r="K29" s="5" t="n">
        <v>21</v>
      </c>
      <c r="L29" s="8" t="n">
        <v>1</v>
      </c>
      <c r="M29" s="8">
        <f>IF($L$4=L29,K29,$M$8)</f>
        <v/>
      </c>
      <c r="N29" s="8">
        <f t="array" ref="N29">INDEX($B$45:$AA$70,M28+1,M29+1)</f>
        <v/>
      </c>
      <c r="O29" s="8">
        <f>IF(L29=$L$4,VLOOKUP(K29,$B$16:$D$40,3,FALSE),0)</f>
        <v/>
      </c>
    </row>
    <row r="30">
      <c r="A30" s="5" t="inlineStr">
        <is>
          <t>O</t>
        </is>
      </c>
      <c r="B30" s="5" t="n">
        <v>15</v>
      </c>
      <c r="C30" s="5" t="inlineStr">
        <is>
          <t>Seminyak</t>
        </is>
      </c>
      <c r="D30" s="5" t="n">
        <v>580</v>
      </c>
      <c r="J30" s="5" t="inlineStr">
        <is>
          <t>V</t>
        </is>
      </c>
      <c r="K30" s="5" t="n">
        <v>22</v>
      </c>
      <c r="L30" s="8" t="n">
        <v>1</v>
      </c>
      <c r="M30" s="8">
        <f>IF($L$4=L30,K30,$M$8)</f>
        <v/>
      </c>
      <c r="N30" s="8">
        <f t="array" ref="N30">INDEX($B$45:$AA$70,M29+1,M30+1)</f>
        <v/>
      </c>
      <c r="O30" s="8">
        <f>IF(L30=$L$4,VLOOKUP(K30,$B$16:$D$40,3,FALSE),0)</f>
        <v/>
      </c>
    </row>
    <row r="31">
      <c r="A31" s="5" t="inlineStr">
        <is>
          <t>P</t>
        </is>
      </c>
      <c r="B31" s="5" t="n">
        <v>16</v>
      </c>
      <c r="C31" s="5" t="inlineStr">
        <is>
          <t>Jimbaran</t>
        </is>
      </c>
      <c r="D31" s="5" t="n">
        <v>360</v>
      </c>
      <c r="J31" s="5" t="inlineStr">
        <is>
          <t>W</t>
        </is>
      </c>
      <c r="K31" s="5" t="n">
        <v>23</v>
      </c>
      <c r="L31" s="8" t="n">
        <v>1</v>
      </c>
      <c r="M31" s="8">
        <f>IF($L$4=L31,K31,$M$8)</f>
        <v/>
      </c>
      <c r="N31" s="8">
        <f t="array" ref="N31">INDEX($B$45:$AA$70,M30+1,M31+1)</f>
        <v/>
      </c>
      <c r="O31" s="8">
        <f>IF(L31=$L$4,VLOOKUP(K31,$B$16:$D$40,3,FALSE),0)</f>
        <v/>
      </c>
    </row>
    <row r="32">
      <c r="A32" s="5" t="inlineStr">
        <is>
          <t>Q</t>
        </is>
      </c>
      <c r="B32" s="5" t="n">
        <v>17</v>
      </c>
      <c r="C32" s="5" t="inlineStr">
        <is>
          <t>Nusa Dua</t>
        </is>
      </c>
      <c r="D32" s="5" t="n">
        <v>340</v>
      </c>
      <c r="J32" s="5" t="inlineStr">
        <is>
          <t>X</t>
        </is>
      </c>
      <c r="K32" s="5" t="n">
        <v>24</v>
      </c>
      <c r="L32" s="8" t="n">
        <v>1</v>
      </c>
      <c r="M32" s="8">
        <f>IF($L$4=L32,K32,$M$8)</f>
        <v/>
      </c>
      <c r="N32" s="8">
        <f t="array" ref="N32">INDEX($B$45:$AA$70,M31+1,M32+1)</f>
        <v/>
      </c>
      <c r="O32" s="8">
        <f>IF(L32=$L$4,VLOOKUP(K32,$B$16:$D$40,3,FALSE),0)</f>
        <v/>
      </c>
    </row>
    <row r="33">
      <c r="A33" s="5" t="inlineStr">
        <is>
          <t>R</t>
        </is>
      </c>
      <c r="B33" s="5" t="n">
        <v>18</v>
      </c>
      <c r="C33" s="5" t="inlineStr">
        <is>
          <t>Benoa</t>
        </is>
      </c>
      <c r="D33" s="5" t="n">
        <v>330</v>
      </c>
      <c r="J33" s="5" t="inlineStr">
        <is>
          <t>Y</t>
        </is>
      </c>
      <c r="K33" s="5" t="n">
        <v>25</v>
      </c>
      <c r="L33" s="8" t="n">
        <v>1</v>
      </c>
      <c r="M33" s="8">
        <f>IF($L$4=L33,K33,$M$8)</f>
        <v/>
      </c>
      <c r="N33" s="8">
        <f t="array" ref="N33">INDEX($B$45:$AA$70,M32+1,M33+1)</f>
        <v/>
      </c>
      <c r="O33" s="8">
        <f>IF(L33=$L$4,VLOOKUP(K33,$B$16:$D$40,3,FALSE),0)</f>
        <v/>
      </c>
    </row>
    <row r="34" ht="29" customHeight="1">
      <c r="A34" s="5" t="inlineStr">
        <is>
          <t>S</t>
        </is>
      </c>
      <c r="B34" s="5" t="n">
        <v>19</v>
      </c>
      <c r="C34" s="5" t="inlineStr">
        <is>
          <t>Ungasan</t>
        </is>
      </c>
      <c r="D34" s="5" t="n">
        <v>290</v>
      </c>
      <c r="K34" s="86" t="inlineStr">
        <is>
          <t>DISTANCE</t>
        </is>
      </c>
      <c r="L34" s="136" t="n"/>
      <c r="M34" s="137" t="n"/>
      <c r="N34" s="8">
        <f>SUM(N9:N33)</f>
        <v/>
      </c>
      <c r="O34" s="8">
        <f>SUM(O9:O33)</f>
        <v/>
      </c>
    </row>
    <row r="35">
      <c r="A35" s="5" t="inlineStr">
        <is>
          <t>T</t>
        </is>
      </c>
      <c r="B35" s="5" t="n">
        <v>20</v>
      </c>
      <c r="C35" s="5" t="inlineStr">
        <is>
          <t>Pecatu</t>
        </is>
      </c>
      <c r="D35" s="5" t="n">
        <v>270</v>
      </c>
    </row>
    <row r="36">
      <c r="A36" s="5" t="inlineStr">
        <is>
          <t>U</t>
        </is>
      </c>
      <c r="B36" s="5" t="n">
        <v>21</v>
      </c>
      <c r="C36" s="5" t="inlineStr">
        <is>
          <t>Teuku Umar</t>
        </is>
      </c>
      <c r="D36" s="5" t="n">
        <v>520</v>
      </c>
    </row>
    <row r="37">
      <c r="A37" s="5" t="inlineStr">
        <is>
          <t>V</t>
        </is>
      </c>
      <c r="B37" s="5" t="n">
        <v>22</v>
      </c>
      <c r="C37" s="5" t="inlineStr">
        <is>
          <t>Gatsu</t>
        </is>
      </c>
      <c r="D37" s="5" t="n">
        <v>500</v>
      </c>
    </row>
    <row r="38">
      <c r="A38" s="5" t="inlineStr">
        <is>
          <t>W</t>
        </is>
      </c>
      <c r="B38" s="5" t="n">
        <v>23</v>
      </c>
      <c r="C38" s="5" t="inlineStr">
        <is>
          <t>Sanur</t>
        </is>
      </c>
      <c r="D38" s="5" t="n">
        <v>470</v>
      </c>
    </row>
    <row r="39">
      <c r="A39" s="5" t="inlineStr">
        <is>
          <t>X</t>
        </is>
      </c>
      <c r="B39" s="5" t="n">
        <v>24</v>
      </c>
      <c r="C39" s="5" t="inlineStr">
        <is>
          <t>Renon</t>
        </is>
      </c>
      <c r="D39" s="5" t="n">
        <v>490</v>
      </c>
    </row>
    <row r="40">
      <c r="A40" s="5" t="inlineStr">
        <is>
          <t>Y</t>
        </is>
      </c>
      <c r="B40" s="5" t="n">
        <v>25</v>
      </c>
      <c r="C40" s="5" t="inlineStr">
        <is>
          <t>Sesetan</t>
        </is>
      </c>
      <c r="D40" s="5" t="n">
        <v>410</v>
      </c>
    </row>
    <row r="43">
      <c r="A43" s="122" t="inlineStr">
        <is>
          <t>TABEL OD MATRIX WAKTU (MENIT)</t>
        </is>
      </c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7" t="n"/>
    </row>
    <row r="44">
      <c r="A44" s="4" t="n"/>
      <c r="B44" s="4" t="inlineStr">
        <is>
          <t>GUDANG</t>
        </is>
      </c>
      <c r="C44" s="4" t="inlineStr">
        <is>
          <t>A</t>
        </is>
      </c>
      <c r="D44" s="4" t="inlineStr">
        <is>
          <t>B</t>
        </is>
      </c>
      <c r="E44" s="4" t="inlineStr">
        <is>
          <t>C</t>
        </is>
      </c>
      <c r="F44" s="4" t="inlineStr">
        <is>
          <t>D</t>
        </is>
      </c>
      <c r="G44" s="4" t="inlineStr">
        <is>
          <t>E</t>
        </is>
      </c>
      <c r="H44" s="4" t="inlineStr">
        <is>
          <t>F</t>
        </is>
      </c>
      <c r="I44" s="4" t="inlineStr">
        <is>
          <t>G</t>
        </is>
      </c>
      <c r="J44" s="4" t="inlineStr">
        <is>
          <t>H</t>
        </is>
      </c>
      <c r="K44" s="4" t="inlineStr">
        <is>
          <t>I</t>
        </is>
      </c>
      <c r="L44" s="4" t="inlineStr">
        <is>
          <t>J</t>
        </is>
      </c>
      <c r="M44" s="4" t="inlineStr">
        <is>
          <t>K</t>
        </is>
      </c>
      <c r="N44" s="4" t="inlineStr">
        <is>
          <t>L</t>
        </is>
      </c>
      <c r="O44" s="4" t="inlineStr">
        <is>
          <t>M</t>
        </is>
      </c>
      <c r="P44" s="4" t="inlineStr">
        <is>
          <t>N</t>
        </is>
      </c>
      <c r="Q44" s="4" t="inlineStr">
        <is>
          <t>O</t>
        </is>
      </c>
      <c r="R44" s="4" t="inlineStr">
        <is>
          <t>P</t>
        </is>
      </c>
      <c r="S44" s="4" t="inlineStr">
        <is>
          <t>Q</t>
        </is>
      </c>
      <c r="T44" s="4" t="inlineStr">
        <is>
          <t>R</t>
        </is>
      </c>
      <c r="U44" s="4" t="inlineStr">
        <is>
          <t>S</t>
        </is>
      </c>
      <c r="V44" s="4" t="inlineStr">
        <is>
          <t>T</t>
        </is>
      </c>
      <c r="W44" s="4" t="inlineStr">
        <is>
          <t>U</t>
        </is>
      </c>
      <c r="X44" s="4" t="inlineStr">
        <is>
          <t>V</t>
        </is>
      </c>
      <c r="Y44" s="4" t="inlineStr">
        <is>
          <t>W</t>
        </is>
      </c>
      <c r="Z44" s="4" t="inlineStr">
        <is>
          <t>X</t>
        </is>
      </c>
      <c r="AA44" s="4" t="inlineStr">
        <is>
          <t>Y</t>
        </is>
      </c>
    </row>
    <row r="45">
      <c r="A45" s="6" t="inlineStr">
        <is>
          <t>GUDANG</t>
        </is>
      </c>
      <c r="B45" s="7" t="n">
        <v>0</v>
      </c>
      <c r="C45" s="8" t="n">
        <v>14</v>
      </c>
      <c r="D45" s="8" t="n">
        <v>25</v>
      </c>
      <c r="E45" s="8" t="n">
        <v>23</v>
      </c>
      <c r="F45" s="8" t="n">
        <v>24</v>
      </c>
      <c r="G45" s="8" t="n">
        <v>34</v>
      </c>
      <c r="H45" s="8" t="n">
        <v>35</v>
      </c>
      <c r="I45" s="8" t="n">
        <v>36</v>
      </c>
      <c r="J45" s="8" t="n">
        <v>31</v>
      </c>
      <c r="K45" s="8" t="n">
        <v>36</v>
      </c>
      <c r="L45" s="8" t="n">
        <v>42</v>
      </c>
      <c r="M45" s="8" t="n">
        <v>51</v>
      </c>
      <c r="N45" s="8" t="n">
        <v>53</v>
      </c>
      <c r="O45" s="8" t="n">
        <v>58</v>
      </c>
      <c r="P45" s="8" t="n">
        <v>50</v>
      </c>
      <c r="Q45" s="8" t="n">
        <v>47</v>
      </c>
      <c r="R45" s="8" t="n">
        <v>65</v>
      </c>
      <c r="S45" s="8" t="n">
        <v>65</v>
      </c>
      <c r="T45" s="8" t="n">
        <v>75</v>
      </c>
      <c r="U45" s="8" t="n">
        <v>68</v>
      </c>
      <c r="V45" s="8" t="n">
        <v>79</v>
      </c>
      <c r="W45" s="8" t="n">
        <v>44</v>
      </c>
      <c r="X45" s="8" t="n">
        <v>34</v>
      </c>
      <c r="Y45" s="8" t="n">
        <v>49</v>
      </c>
      <c r="Z45" s="8" t="n">
        <v>52</v>
      </c>
      <c r="AA45" s="8" t="n">
        <v>49</v>
      </c>
    </row>
    <row r="46">
      <c r="A46" s="6" t="inlineStr">
        <is>
          <t>A</t>
        </is>
      </c>
      <c r="B46" s="8" t="n">
        <v>14</v>
      </c>
      <c r="C46" s="7" t="n">
        <v>0</v>
      </c>
      <c r="D46" s="5" t="n">
        <v>17</v>
      </c>
      <c r="E46" s="5" t="n">
        <v>19</v>
      </c>
      <c r="F46" s="5" t="n">
        <v>12</v>
      </c>
      <c r="G46" s="5" t="n">
        <v>26</v>
      </c>
      <c r="H46" s="5" t="n">
        <v>27</v>
      </c>
      <c r="I46" s="5" t="n">
        <v>33</v>
      </c>
      <c r="J46" s="5" t="n">
        <v>25</v>
      </c>
      <c r="K46" s="5" t="n">
        <v>30</v>
      </c>
      <c r="L46" s="5" t="n">
        <v>34</v>
      </c>
      <c r="M46" s="5" t="n">
        <v>44</v>
      </c>
      <c r="N46" s="5" t="n">
        <v>47</v>
      </c>
      <c r="O46" s="5" t="n">
        <v>46</v>
      </c>
      <c r="P46" s="5" t="n">
        <v>50</v>
      </c>
      <c r="Q46" s="5" t="n">
        <v>45</v>
      </c>
      <c r="R46" s="5" t="n">
        <v>59</v>
      </c>
      <c r="S46" s="5" t="n">
        <v>63</v>
      </c>
      <c r="T46" s="5" t="n">
        <v>71</v>
      </c>
      <c r="U46" s="5" t="n">
        <v>75</v>
      </c>
      <c r="V46" s="5" t="n">
        <v>64</v>
      </c>
      <c r="W46" s="5" t="n">
        <v>42</v>
      </c>
      <c r="X46" s="5" t="n">
        <v>27</v>
      </c>
      <c r="Y46" s="5" t="n">
        <v>43</v>
      </c>
      <c r="Z46" s="5" t="n">
        <v>47</v>
      </c>
      <c r="AA46" s="5" t="n">
        <v>49</v>
      </c>
    </row>
    <row r="47">
      <c r="A47" s="6" t="inlineStr">
        <is>
          <t>B</t>
        </is>
      </c>
      <c r="B47" s="8" t="n">
        <v>25</v>
      </c>
      <c r="C47" s="5" t="n">
        <v>17</v>
      </c>
      <c r="D47" s="7" t="n">
        <v>0</v>
      </c>
      <c r="E47" s="5" t="n">
        <v>15</v>
      </c>
      <c r="F47" s="5" t="n">
        <v>7</v>
      </c>
      <c r="G47" s="5" t="n">
        <v>15</v>
      </c>
      <c r="H47" s="5" t="n">
        <v>19</v>
      </c>
      <c r="I47" s="5" t="n">
        <v>17</v>
      </c>
      <c r="J47" s="5" t="n">
        <v>9</v>
      </c>
      <c r="K47" s="5" t="n">
        <v>18</v>
      </c>
      <c r="L47" s="5" t="n">
        <v>27</v>
      </c>
      <c r="M47" s="5" t="n">
        <v>33</v>
      </c>
      <c r="N47" s="5" t="n">
        <v>28</v>
      </c>
      <c r="O47" s="5" t="n">
        <v>38</v>
      </c>
      <c r="P47" s="5" t="n">
        <v>41</v>
      </c>
      <c r="Q47" s="5" t="n">
        <v>34</v>
      </c>
      <c r="R47" s="5" t="n">
        <v>42</v>
      </c>
      <c r="S47" s="5" t="n">
        <v>44</v>
      </c>
      <c r="T47" s="5" t="n">
        <v>53</v>
      </c>
      <c r="U47" s="5" t="n">
        <v>46</v>
      </c>
      <c r="V47" s="5" t="n">
        <v>67</v>
      </c>
      <c r="W47" s="5" t="n">
        <v>37</v>
      </c>
      <c r="X47" s="5" t="n">
        <v>21</v>
      </c>
      <c r="Y47" s="5" t="n">
        <v>44</v>
      </c>
      <c r="Z47" s="5" t="n">
        <v>55</v>
      </c>
      <c r="AA47" s="5" t="n">
        <v>30</v>
      </c>
    </row>
    <row r="48">
      <c r="A48" s="6" t="inlineStr">
        <is>
          <t>C</t>
        </is>
      </c>
      <c r="B48" s="8" t="n">
        <v>23</v>
      </c>
      <c r="C48" s="5" t="n">
        <v>19</v>
      </c>
      <c r="D48" s="5" t="n">
        <v>15</v>
      </c>
      <c r="E48" s="7" t="n">
        <v>0</v>
      </c>
      <c r="F48" s="5" t="n">
        <v>6</v>
      </c>
      <c r="G48" s="5" t="n">
        <v>13</v>
      </c>
      <c r="H48" s="5" t="n">
        <v>14</v>
      </c>
      <c r="I48" s="5" t="n">
        <v>18</v>
      </c>
      <c r="J48" s="5" t="n">
        <v>16</v>
      </c>
      <c r="K48" s="5" t="n">
        <v>12</v>
      </c>
      <c r="L48" s="5" t="n">
        <v>21</v>
      </c>
      <c r="M48" s="5" t="n">
        <v>27</v>
      </c>
      <c r="N48" s="5" t="n">
        <v>29</v>
      </c>
      <c r="O48" s="5" t="n">
        <v>27</v>
      </c>
      <c r="P48" s="5" t="n">
        <v>27</v>
      </c>
      <c r="Q48" s="5" t="n">
        <v>24</v>
      </c>
      <c r="R48" s="5" t="n">
        <v>41</v>
      </c>
      <c r="S48" s="5" t="n">
        <v>42</v>
      </c>
      <c r="T48" s="5" t="n">
        <v>50</v>
      </c>
      <c r="U48" s="5" t="n">
        <v>43</v>
      </c>
      <c r="V48" s="5" t="n">
        <v>54</v>
      </c>
      <c r="W48" s="5" t="n">
        <v>21</v>
      </c>
      <c r="X48" s="5" t="n">
        <v>10</v>
      </c>
      <c r="Y48" s="5" t="n">
        <v>30</v>
      </c>
      <c r="Z48" s="5" t="n">
        <v>28</v>
      </c>
      <c r="AA48" s="5" t="n">
        <v>25</v>
      </c>
    </row>
    <row r="49">
      <c r="A49" s="6" t="inlineStr">
        <is>
          <t>D</t>
        </is>
      </c>
      <c r="B49" s="8" t="n">
        <v>24</v>
      </c>
      <c r="C49" s="5" t="n">
        <v>12</v>
      </c>
      <c r="D49" s="5" t="n">
        <v>7</v>
      </c>
      <c r="E49" s="5" t="n">
        <v>6</v>
      </c>
      <c r="F49" s="7" t="n">
        <v>0</v>
      </c>
      <c r="G49" s="5" t="n">
        <v>17</v>
      </c>
      <c r="H49" s="5" t="n">
        <v>21</v>
      </c>
      <c r="I49" s="5" t="n">
        <v>24</v>
      </c>
      <c r="J49" s="5" t="n">
        <v>21</v>
      </c>
      <c r="K49" s="5" t="n">
        <v>20</v>
      </c>
      <c r="L49" s="5" t="n">
        <v>40</v>
      </c>
      <c r="M49" s="5" t="n">
        <v>35</v>
      </c>
      <c r="N49" s="5" t="n">
        <v>36</v>
      </c>
      <c r="O49" s="5" t="n">
        <v>37</v>
      </c>
      <c r="P49" s="5" t="n">
        <v>33</v>
      </c>
      <c r="Q49" s="5" t="n">
        <v>32</v>
      </c>
      <c r="R49" s="5" t="n">
        <v>50</v>
      </c>
      <c r="S49" s="5" t="n">
        <v>52</v>
      </c>
      <c r="T49" s="5" t="n">
        <v>60</v>
      </c>
      <c r="U49" s="5" t="n">
        <v>55</v>
      </c>
      <c r="V49" s="5" t="n">
        <v>63</v>
      </c>
      <c r="W49" s="5" t="n">
        <v>34</v>
      </c>
      <c r="X49" s="5" t="n">
        <v>20</v>
      </c>
      <c r="Y49" s="5" t="n">
        <v>43</v>
      </c>
      <c r="Z49" s="5" t="n">
        <v>40</v>
      </c>
      <c r="AA49" s="5" t="n">
        <v>38</v>
      </c>
    </row>
    <row r="50">
      <c r="A50" s="6" t="inlineStr">
        <is>
          <t>E</t>
        </is>
      </c>
      <c r="B50" s="8" t="n">
        <v>34</v>
      </c>
      <c r="C50" s="5" t="n">
        <v>26</v>
      </c>
      <c r="D50" s="5" t="n">
        <v>15</v>
      </c>
      <c r="E50" s="5" t="n">
        <v>13</v>
      </c>
      <c r="F50" s="5" t="n">
        <v>17</v>
      </c>
      <c r="G50" s="7" t="n">
        <v>0</v>
      </c>
      <c r="H50" s="5" t="n">
        <v>21</v>
      </c>
      <c r="I50" s="5" t="n">
        <v>24</v>
      </c>
      <c r="J50" s="5" t="n">
        <v>22</v>
      </c>
      <c r="K50" s="5" t="n">
        <v>20</v>
      </c>
      <c r="L50" s="5" t="n">
        <v>39</v>
      </c>
      <c r="M50" s="5" t="n">
        <v>35</v>
      </c>
      <c r="N50" s="5" t="n">
        <v>37</v>
      </c>
      <c r="O50" s="5" t="n">
        <v>33</v>
      </c>
      <c r="P50" s="5" t="n">
        <v>29</v>
      </c>
      <c r="Q50" s="5" t="n">
        <v>30</v>
      </c>
      <c r="R50" s="5" t="n">
        <v>55</v>
      </c>
      <c r="S50" s="5" t="n">
        <v>52</v>
      </c>
      <c r="T50" s="5" t="n">
        <v>51</v>
      </c>
      <c r="U50" s="5" t="n">
        <v>53</v>
      </c>
      <c r="V50" s="5" t="n">
        <v>52</v>
      </c>
      <c r="W50" s="5" t="n">
        <v>33</v>
      </c>
      <c r="X50" s="5" t="n">
        <v>20</v>
      </c>
      <c r="Y50" s="5" t="n">
        <v>42</v>
      </c>
      <c r="Z50" s="5" t="n">
        <v>40</v>
      </c>
      <c r="AA50" s="5" t="n">
        <v>38</v>
      </c>
    </row>
    <row r="51">
      <c r="A51" s="6" t="inlineStr">
        <is>
          <t>F</t>
        </is>
      </c>
      <c r="B51" s="8" t="n">
        <v>35</v>
      </c>
      <c r="C51" s="5" t="n">
        <v>27</v>
      </c>
      <c r="D51" s="5" t="n">
        <v>19</v>
      </c>
      <c r="E51" s="5" t="n">
        <v>14</v>
      </c>
      <c r="F51" s="5" t="n">
        <v>21</v>
      </c>
      <c r="G51" s="5" t="n">
        <v>21</v>
      </c>
      <c r="H51" s="7" t="n">
        <v>0</v>
      </c>
      <c r="I51" s="5" t="n">
        <v>17</v>
      </c>
      <c r="J51" s="5" t="n">
        <v>11</v>
      </c>
      <c r="K51" s="5" t="n">
        <v>21</v>
      </c>
      <c r="L51" s="5" t="n">
        <v>20</v>
      </c>
      <c r="M51" s="5" t="n">
        <v>30</v>
      </c>
      <c r="N51" s="5" t="n">
        <v>31</v>
      </c>
      <c r="O51" s="5" t="n">
        <v>32</v>
      </c>
      <c r="P51" s="5" t="n">
        <v>43</v>
      </c>
      <c r="Q51" s="5" t="n">
        <v>28</v>
      </c>
      <c r="R51" s="5" t="n">
        <v>47</v>
      </c>
      <c r="S51" s="5" t="n">
        <v>33</v>
      </c>
      <c r="T51" s="5" t="n">
        <v>41</v>
      </c>
      <c r="U51" s="5" t="n">
        <v>50</v>
      </c>
      <c r="V51" s="5" t="n">
        <v>58</v>
      </c>
      <c r="W51" s="5" t="n">
        <v>22</v>
      </c>
      <c r="X51" s="5" t="n">
        <v>12</v>
      </c>
      <c r="Y51" s="5" t="n">
        <v>43</v>
      </c>
      <c r="Z51" s="5" t="n">
        <v>41</v>
      </c>
      <c r="AA51" s="5" t="n">
        <v>48</v>
      </c>
    </row>
    <row r="52">
      <c r="A52" s="6" t="inlineStr">
        <is>
          <t>G</t>
        </is>
      </c>
      <c r="B52" s="8" t="n">
        <v>36</v>
      </c>
      <c r="C52" s="5" t="n">
        <v>33</v>
      </c>
      <c r="D52" s="5" t="n">
        <v>17</v>
      </c>
      <c r="E52" s="5" t="n">
        <v>18</v>
      </c>
      <c r="F52" s="5" t="n">
        <v>24</v>
      </c>
      <c r="G52" s="5" t="n">
        <v>24</v>
      </c>
      <c r="H52" s="5" t="n">
        <v>17</v>
      </c>
      <c r="I52" s="7" t="n">
        <v>0</v>
      </c>
      <c r="J52" s="5" t="n">
        <v>7</v>
      </c>
      <c r="K52" s="5" t="n">
        <v>14</v>
      </c>
      <c r="L52" s="5" t="n">
        <v>19</v>
      </c>
      <c r="M52" s="5" t="n">
        <v>24</v>
      </c>
      <c r="N52" s="5" t="n">
        <v>25</v>
      </c>
      <c r="O52" s="5" t="n">
        <v>25</v>
      </c>
      <c r="P52" s="5" t="n">
        <v>26</v>
      </c>
      <c r="Q52" s="5" t="n">
        <v>21</v>
      </c>
      <c r="R52" s="5" t="n">
        <v>39</v>
      </c>
      <c r="S52" s="5" t="n">
        <v>41</v>
      </c>
      <c r="T52" s="5" t="n">
        <v>49</v>
      </c>
      <c r="U52" s="5" t="n">
        <v>42</v>
      </c>
      <c r="V52" s="5" t="n">
        <v>51</v>
      </c>
      <c r="W52" s="5" t="n">
        <v>25</v>
      </c>
      <c r="X52" s="5" t="n">
        <v>15</v>
      </c>
      <c r="Y52" s="5" t="n">
        <v>36</v>
      </c>
      <c r="Z52" s="5" t="n">
        <v>35</v>
      </c>
      <c r="AA52" s="5" t="n">
        <v>30</v>
      </c>
    </row>
    <row r="53">
      <c r="A53" s="6" t="inlineStr">
        <is>
          <t>H</t>
        </is>
      </c>
      <c r="B53" s="8" t="n">
        <v>31</v>
      </c>
      <c r="C53" s="5" t="n">
        <v>25</v>
      </c>
      <c r="D53" s="5" t="n">
        <v>9</v>
      </c>
      <c r="E53" s="5" t="n">
        <v>16</v>
      </c>
      <c r="F53" s="5" t="n">
        <v>21</v>
      </c>
      <c r="G53" s="5" t="n">
        <v>22</v>
      </c>
      <c r="H53" s="5" t="n">
        <v>11</v>
      </c>
      <c r="I53" s="5" t="n">
        <v>7</v>
      </c>
      <c r="J53" s="7" t="n">
        <v>0</v>
      </c>
      <c r="K53" s="5" t="n">
        <v>15</v>
      </c>
      <c r="L53" s="5" t="n">
        <v>15</v>
      </c>
      <c r="M53" s="5" t="n">
        <v>24</v>
      </c>
      <c r="N53" s="5" t="n">
        <v>26</v>
      </c>
      <c r="O53" s="5" t="n">
        <v>27</v>
      </c>
      <c r="P53" s="5" t="n">
        <v>28</v>
      </c>
      <c r="Q53" s="5" t="n">
        <v>22</v>
      </c>
      <c r="R53" s="5" t="n">
        <v>40</v>
      </c>
      <c r="S53" s="5" t="n">
        <v>41</v>
      </c>
      <c r="T53" s="5" t="n">
        <v>50</v>
      </c>
      <c r="U53" s="5" t="n">
        <v>43</v>
      </c>
      <c r="V53" s="5" t="n">
        <v>51</v>
      </c>
      <c r="W53" s="5" t="n">
        <v>26</v>
      </c>
      <c r="X53" s="5" t="n">
        <v>16</v>
      </c>
      <c r="Y53" s="5" t="n">
        <v>36</v>
      </c>
      <c r="Z53" s="5" t="n">
        <v>35</v>
      </c>
      <c r="AA53" s="5" t="n">
        <v>31</v>
      </c>
    </row>
    <row r="54">
      <c r="A54" s="6" t="inlineStr">
        <is>
          <t>I</t>
        </is>
      </c>
      <c r="B54" s="8" t="n">
        <v>36</v>
      </c>
      <c r="C54" s="5" t="n">
        <v>30</v>
      </c>
      <c r="D54" s="5" t="n">
        <v>18</v>
      </c>
      <c r="E54" s="5" t="n">
        <v>12</v>
      </c>
      <c r="F54" s="5" t="n">
        <v>20</v>
      </c>
      <c r="G54" s="5" t="n">
        <v>20</v>
      </c>
      <c r="H54" s="5" t="n">
        <v>21</v>
      </c>
      <c r="I54" s="5" t="n">
        <v>14</v>
      </c>
      <c r="J54" s="5" t="n">
        <v>15</v>
      </c>
      <c r="K54" s="7" t="n">
        <v>0</v>
      </c>
      <c r="L54" s="5" t="n">
        <v>12</v>
      </c>
      <c r="M54" s="5" t="n">
        <v>17</v>
      </c>
      <c r="N54" s="5" t="n">
        <v>18</v>
      </c>
      <c r="O54" s="5" t="n">
        <v>19</v>
      </c>
      <c r="P54" s="5" t="n">
        <v>18</v>
      </c>
      <c r="Q54" s="5" t="n">
        <v>14</v>
      </c>
      <c r="R54" s="5" t="n">
        <v>33</v>
      </c>
      <c r="S54" s="5" t="n">
        <v>35</v>
      </c>
      <c r="T54" s="5" t="n">
        <v>42</v>
      </c>
      <c r="U54" s="5" t="n">
        <v>36</v>
      </c>
      <c r="V54" s="5" t="n">
        <v>45</v>
      </c>
      <c r="W54" s="5" t="n">
        <v>16</v>
      </c>
      <c r="X54" s="5" t="n">
        <v>3</v>
      </c>
      <c r="Y54" s="5" t="n">
        <v>27</v>
      </c>
      <c r="Z54" s="5" t="n">
        <v>25</v>
      </c>
      <c r="AA54" s="5" t="n">
        <v>22</v>
      </c>
    </row>
    <row r="55">
      <c r="A55" s="6" t="inlineStr">
        <is>
          <t>J</t>
        </is>
      </c>
      <c r="B55" s="8" t="n">
        <v>42</v>
      </c>
      <c r="C55" s="5" t="n">
        <v>34</v>
      </c>
      <c r="D55" s="5" t="n">
        <v>27</v>
      </c>
      <c r="E55" s="5" t="n">
        <v>21</v>
      </c>
      <c r="F55" s="5" t="n">
        <v>40</v>
      </c>
      <c r="G55" s="5" t="n">
        <v>39</v>
      </c>
      <c r="H55" s="5" t="n">
        <v>20</v>
      </c>
      <c r="I55" s="5" t="n">
        <v>19</v>
      </c>
      <c r="J55" s="5" t="n">
        <v>15</v>
      </c>
      <c r="K55" s="5" t="n">
        <v>12</v>
      </c>
      <c r="L55" s="7" t="n">
        <v>0</v>
      </c>
      <c r="M55" s="5" t="n">
        <v>18</v>
      </c>
      <c r="N55" s="5" t="n">
        <v>20</v>
      </c>
      <c r="O55" s="5" t="n">
        <v>22</v>
      </c>
      <c r="P55" s="5" t="n">
        <v>25</v>
      </c>
      <c r="Q55" s="5" t="n">
        <v>14</v>
      </c>
      <c r="R55" s="5" t="n">
        <v>41</v>
      </c>
      <c r="S55" s="5" t="n">
        <v>38</v>
      </c>
      <c r="T55" s="5" t="n">
        <v>50</v>
      </c>
      <c r="U55" s="5" t="n">
        <v>46</v>
      </c>
      <c r="V55" s="5" t="n">
        <v>63</v>
      </c>
      <c r="W55" s="5" t="n">
        <v>25</v>
      </c>
      <c r="X55" s="5" t="n">
        <v>17</v>
      </c>
      <c r="Y55" s="5" t="n">
        <v>44</v>
      </c>
      <c r="Z55" s="5" t="n">
        <v>45</v>
      </c>
      <c r="AA55" s="5" t="n">
        <v>34</v>
      </c>
    </row>
    <row r="56">
      <c r="A56" s="6" t="inlineStr">
        <is>
          <t>K</t>
        </is>
      </c>
      <c r="B56" s="8" t="n">
        <v>51</v>
      </c>
      <c r="C56" s="5" t="n">
        <v>44</v>
      </c>
      <c r="D56" s="5" t="n">
        <v>33</v>
      </c>
      <c r="E56" s="5" t="n">
        <v>27</v>
      </c>
      <c r="F56" s="5" t="n">
        <v>35</v>
      </c>
      <c r="G56" s="5" t="n">
        <v>35</v>
      </c>
      <c r="H56" s="5" t="n">
        <v>30</v>
      </c>
      <c r="I56" s="5" t="n">
        <v>24</v>
      </c>
      <c r="J56" s="5" t="n">
        <v>24</v>
      </c>
      <c r="K56" s="5" t="n">
        <v>17</v>
      </c>
      <c r="L56" s="5" t="n">
        <v>18</v>
      </c>
      <c r="M56" s="7" t="n">
        <v>0</v>
      </c>
      <c r="N56" s="5" t="n">
        <v>7</v>
      </c>
      <c r="O56" s="5" t="n">
        <v>4</v>
      </c>
      <c r="P56" s="5" t="n">
        <v>9</v>
      </c>
      <c r="Q56" s="5" t="n">
        <v>11</v>
      </c>
      <c r="R56" s="5" t="n">
        <v>24</v>
      </c>
      <c r="S56" s="5" t="n">
        <v>21</v>
      </c>
      <c r="T56" s="5" t="n">
        <v>39</v>
      </c>
      <c r="U56" s="5" t="n">
        <v>29</v>
      </c>
      <c r="V56" s="5" t="n">
        <v>46</v>
      </c>
      <c r="W56" s="5" t="n">
        <v>30</v>
      </c>
      <c r="X56" s="5" t="n">
        <v>37</v>
      </c>
      <c r="Y56" s="5" t="n">
        <v>53</v>
      </c>
      <c r="Z56" s="5" t="n">
        <v>26</v>
      </c>
      <c r="AA56" s="5" t="n">
        <v>34</v>
      </c>
    </row>
    <row r="57">
      <c r="A57" s="6" t="inlineStr">
        <is>
          <t>L</t>
        </is>
      </c>
      <c r="B57" s="8" t="n">
        <v>53</v>
      </c>
      <c r="C57" s="5" t="n">
        <v>47</v>
      </c>
      <c r="D57" s="5" t="n">
        <v>28</v>
      </c>
      <c r="E57" s="5" t="n">
        <v>29</v>
      </c>
      <c r="F57" s="5" t="n">
        <v>36</v>
      </c>
      <c r="G57" s="5" t="n">
        <v>37</v>
      </c>
      <c r="H57" s="5" t="n">
        <v>31</v>
      </c>
      <c r="I57" s="5" t="n">
        <v>25</v>
      </c>
      <c r="J57" s="5" t="n">
        <v>26</v>
      </c>
      <c r="K57" s="5" t="n">
        <v>18</v>
      </c>
      <c r="L57" s="5" t="n">
        <v>20</v>
      </c>
      <c r="M57" s="5" t="n">
        <v>7</v>
      </c>
      <c r="N57" s="7" t="n">
        <v>0</v>
      </c>
      <c r="O57" s="5" t="n">
        <v>11</v>
      </c>
      <c r="P57" s="5" t="n">
        <v>10</v>
      </c>
      <c r="Q57" s="5" t="n">
        <v>7</v>
      </c>
      <c r="R57" s="5" t="n">
        <v>29</v>
      </c>
      <c r="S57" s="5" t="n">
        <v>23</v>
      </c>
      <c r="T57" s="5" t="n">
        <v>35</v>
      </c>
      <c r="U57" s="5" t="n">
        <v>34</v>
      </c>
      <c r="V57" s="5" t="n">
        <v>49</v>
      </c>
      <c r="W57" s="5" t="n">
        <v>21</v>
      </c>
      <c r="X57" s="5" t="n">
        <v>31</v>
      </c>
      <c r="Y57" s="5" t="n">
        <v>42</v>
      </c>
      <c r="Z57" s="5" t="n">
        <v>21</v>
      </c>
      <c r="AA57" s="5" t="n">
        <v>27</v>
      </c>
    </row>
    <row r="58">
      <c r="A58" s="6" t="inlineStr">
        <is>
          <t>M</t>
        </is>
      </c>
      <c r="B58" s="8" t="n">
        <v>58</v>
      </c>
      <c r="C58" s="5" t="n">
        <v>46</v>
      </c>
      <c r="D58" s="5" t="n">
        <v>38</v>
      </c>
      <c r="E58" s="5" t="n">
        <v>27</v>
      </c>
      <c r="F58" s="5" t="n">
        <v>37</v>
      </c>
      <c r="G58" s="5" t="n">
        <v>33</v>
      </c>
      <c r="H58" s="5" t="n">
        <v>32</v>
      </c>
      <c r="I58" s="5" t="n">
        <v>25</v>
      </c>
      <c r="J58" s="5" t="n">
        <v>27</v>
      </c>
      <c r="K58" s="5" t="n">
        <v>19</v>
      </c>
      <c r="L58" s="5" t="n">
        <v>22</v>
      </c>
      <c r="M58" s="5" t="n">
        <v>4</v>
      </c>
      <c r="N58" s="5" t="n">
        <v>11</v>
      </c>
      <c r="O58" s="7" t="n">
        <v>0</v>
      </c>
      <c r="P58" s="5" t="n">
        <v>13</v>
      </c>
      <c r="Q58" s="5" t="n">
        <v>18</v>
      </c>
      <c r="R58" s="5" t="n">
        <v>25</v>
      </c>
      <c r="S58" s="5" t="n">
        <v>15</v>
      </c>
      <c r="T58" s="5" t="n">
        <v>27</v>
      </c>
      <c r="U58" s="5" t="n">
        <v>24</v>
      </c>
      <c r="V58" s="5" t="n">
        <v>41</v>
      </c>
      <c r="W58" s="5" t="n">
        <v>30</v>
      </c>
      <c r="X58" s="5" t="n">
        <v>39</v>
      </c>
      <c r="Y58" s="5" t="n">
        <v>29</v>
      </c>
      <c r="Z58" s="5" t="n">
        <v>27</v>
      </c>
      <c r="AA58" s="5" t="n">
        <v>23</v>
      </c>
    </row>
    <row r="59">
      <c r="A59" s="6" t="inlineStr">
        <is>
          <t>N</t>
        </is>
      </c>
      <c r="B59" s="8" t="n">
        <v>50</v>
      </c>
      <c r="C59" s="5" t="n">
        <v>50</v>
      </c>
      <c r="D59" s="5" t="n">
        <v>41</v>
      </c>
      <c r="E59" s="5" t="n">
        <v>27</v>
      </c>
      <c r="F59" s="5" t="n">
        <v>33</v>
      </c>
      <c r="G59" s="5" t="n">
        <v>29</v>
      </c>
      <c r="H59" s="5" t="n">
        <v>43</v>
      </c>
      <c r="I59" s="5" t="n">
        <v>26</v>
      </c>
      <c r="J59" s="5" t="n">
        <v>28</v>
      </c>
      <c r="K59" s="5" t="n">
        <v>18</v>
      </c>
      <c r="L59" s="5" t="n">
        <v>25</v>
      </c>
      <c r="M59" s="5" t="n">
        <v>9</v>
      </c>
      <c r="N59" s="5" t="n">
        <v>10</v>
      </c>
      <c r="O59" s="5" t="n">
        <v>13</v>
      </c>
      <c r="P59" s="7" t="n">
        <v>0</v>
      </c>
      <c r="Q59" s="5" t="n">
        <v>12</v>
      </c>
      <c r="R59" s="5" t="n">
        <v>20</v>
      </c>
      <c r="S59" s="5" t="n">
        <v>17</v>
      </c>
      <c r="T59" s="5" t="n">
        <v>29</v>
      </c>
      <c r="U59" s="5" t="n">
        <v>19</v>
      </c>
      <c r="V59" s="5" t="n">
        <v>40</v>
      </c>
      <c r="W59" s="5" t="n">
        <v>22</v>
      </c>
      <c r="X59" s="5" t="n">
        <v>38</v>
      </c>
      <c r="Y59" s="5" t="n">
        <v>25</v>
      </c>
      <c r="Z59" s="5" t="n">
        <v>22</v>
      </c>
      <c r="AA59" s="5" t="n">
        <v>17</v>
      </c>
    </row>
    <row r="60">
      <c r="A60" s="6" t="inlineStr">
        <is>
          <t>O</t>
        </is>
      </c>
      <c r="B60" s="8" t="n">
        <v>47</v>
      </c>
      <c r="C60" s="5" t="n">
        <v>45</v>
      </c>
      <c r="D60" s="5" t="n">
        <v>34</v>
      </c>
      <c r="E60" s="5" t="n">
        <v>24</v>
      </c>
      <c r="F60" s="5" t="n">
        <v>32</v>
      </c>
      <c r="G60" s="5" t="n">
        <v>30</v>
      </c>
      <c r="H60" s="5" t="n">
        <v>28</v>
      </c>
      <c r="I60" s="5" t="n">
        <v>21</v>
      </c>
      <c r="J60" s="5" t="n">
        <v>22</v>
      </c>
      <c r="K60" s="5" t="n">
        <v>14</v>
      </c>
      <c r="L60" s="5" t="n">
        <v>14</v>
      </c>
      <c r="M60" s="5" t="n">
        <v>11</v>
      </c>
      <c r="N60" s="5" t="n">
        <v>7</v>
      </c>
      <c r="O60" s="5" t="n">
        <v>18</v>
      </c>
      <c r="P60" s="5" t="n">
        <v>12</v>
      </c>
      <c r="Q60" s="7" t="n">
        <v>0</v>
      </c>
      <c r="R60" s="5" t="n">
        <v>19</v>
      </c>
      <c r="S60" s="5" t="n">
        <v>16</v>
      </c>
      <c r="T60" s="5" t="n">
        <v>23</v>
      </c>
      <c r="U60" s="5" t="n">
        <v>27</v>
      </c>
      <c r="V60" s="5" t="n">
        <v>47</v>
      </c>
      <c r="W60" s="5" t="n">
        <v>27</v>
      </c>
      <c r="X60" s="5" t="n">
        <v>26</v>
      </c>
      <c r="Y60" s="5" t="n">
        <v>19</v>
      </c>
      <c r="Z60" s="5" t="n">
        <v>17</v>
      </c>
      <c r="AA60" s="5" t="n">
        <v>21</v>
      </c>
    </row>
    <row r="61">
      <c r="A61" s="6" t="inlineStr">
        <is>
          <t>P</t>
        </is>
      </c>
      <c r="B61" s="8" t="n">
        <v>65</v>
      </c>
      <c r="C61" s="5" t="n">
        <v>59</v>
      </c>
      <c r="D61" s="5" t="n">
        <v>42</v>
      </c>
      <c r="E61" s="5" t="n">
        <v>41</v>
      </c>
      <c r="F61" s="5" t="n">
        <v>50</v>
      </c>
      <c r="G61" s="5" t="n">
        <v>55</v>
      </c>
      <c r="H61" s="5" t="n">
        <v>47</v>
      </c>
      <c r="I61" s="5" t="n">
        <v>39</v>
      </c>
      <c r="J61" s="5" t="n">
        <v>40</v>
      </c>
      <c r="K61" s="5" t="n">
        <v>33</v>
      </c>
      <c r="L61" s="5" t="n">
        <v>41</v>
      </c>
      <c r="M61" s="5" t="n">
        <v>24</v>
      </c>
      <c r="N61" s="5" t="n">
        <v>29</v>
      </c>
      <c r="O61" s="5" t="n">
        <v>25</v>
      </c>
      <c r="P61" s="5" t="n">
        <v>20</v>
      </c>
      <c r="Q61" s="5" t="n">
        <v>19</v>
      </c>
      <c r="R61" s="7" t="n">
        <v>0</v>
      </c>
      <c r="S61" s="5" t="n">
        <v>15</v>
      </c>
      <c r="T61" s="5" t="n">
        <v>37</v>
      </c>
      <c r="U61" s="5" t="n">
        <v>6</v>
      </c>
      <c r="V61" s="5" t="n">
        <v>22</v>
      </c>
      <c r="W61" s="5" t="n">
        <v>40</v>
      </c>
      <c r="X61" s="5" t="n">
        <v>58</v>
      </c>
      <c r="Y61" s="5" t="n">
        <v>39</v>
      </c>
      <c r="Z61" s="5" t="n">
        <v>34</v>
      </c>
      <c r="AA61" s="5" t="n">
        <v>41</v>
      </c>
    </row>
    <row r="62">
      <c r="A62" s="6" t="inlineStr">
        <is>
          <t>Q</t>
        </is>
      </c>
      <c r="B62" s="8" t="n">
        <v>65</v>
      </c>
      <c r="C62" s="5" t="n">
        <v>63</v>
      </c>
      <c r="D62" s="5" t="n">
        <v>44</v>
      </c>
      <c r="E62" s="5" t="n">
        <v>42</v>
      </c>
      <c r="F62" s="5" t="n">
        <v>52</v>
      </c>
      <c r="G62" s="5" t="n">
        <v>52</v>
      </c>
      <c r="H62" s="5" t="n">
        <v>33</v>
      </c>
      <c r="I62" s="5" t="n">
        <v>41</v>
      </c>
      <c r="J62" s="5" t="n">
        <v>41</v>
      </c>
      <c r="K62" s="5" t="n">
        <v>35</v>
      </c>
      <c r="L62" s="5" t="n">
        <v>38</v>
      </c>
      <c r="M62" s="5" t="n">
        <v>21</v>
      </c>
      <c r="N62" s="5" t="n">
        <v>23</v>
      </c>
      <c r="O62" s="5" t="n">
        <v>15</v>
      </c>
      <c r="P62" s="5" t="n">
        <v>17</v>
      </c>
      <c r="Q62" s="5" t="n">
        <v>16</v>
      </c>
      <c r="R62" s="5" t="n">
        <v>15</v>
      </c>
      <c r="S62" s="7" t="n">
        <v>0</v>
      </c>
      <c r="T62" s="5" t="n">
        <v>11</v>
      </c>
      <c r="U62" s="5" t="n">
        <v>20</v>
      </c>
      <c r="V62" s="5" t="n">
        <v>33</v>
      </c>
      <c r="W62" s="5" t="n">
        <v>37</v>
      </c>
      <c r="X62" s="5" t="n">
        <v>62</v>
      </c>
      <c r="Y62" s="5" t="n">
        <v>35</v>
      </c>
      <c r="Z62" s="5" t="n">
        <v>25</v>
      </c>
      <c r="AA62" s="5" t="n">
        <v>27</v>
      </c>
    </row>
    <row r="63">
      <c r="A63" s="6" t="inlineStr">
        <is>
          <t>R</t>
        </is>
      </c>
      <c r="B63" s="8" t="n">
        <v>75</v>
      </c>
      <c r="C63" s="5" t="n">
        <v>71</v>
      </c>
      <c r="D63" s="5" t="n">
        <v>53</v>
      </c>
      <c r="E63" s="5" t="n">
        <v>50</v>
      </c>
      <c r="F63" s="5" t="n">
        <v>60</v>
      </c>
      <c r="G63" s="5" t="n">
        <v>51</v>
      </c>
      <c r="H63" s="5" t="n">
        <v>41</v>
      </c>
      <c r="I63" s="5" t="n">
        <v>49</v>
      </c>
      <c r="J63" s="5" t="n">
        <v>50</v>
      </c>
      <c r="K63" s="5" t="n">
        <v>42</v>
      </c>
      <c r="L63" s="5" t="n">
        <v>50</v>
      </c>
      <c r="M63" s="5" t="n">
        <v>39</v>
      </c>
      <c r="N63" s="5" t="n">
        <v>35</v>
      </c>
      <c r="O63" s="5" t="n">
        <v>27</v>
      </c>
      <c r="P63" s="5" t="n">
        <v>29</v>
      </c>
      <c r="Q63" s="5" t="n">
        <v>23</v>
      </c>
      <c r="R63" s="5" t="n">
        <v>37</v>
      </c>
      <c r="S63" s="5" t="n">
        <v>11</v>
      </c>
      <c r="T63" s="7" t="n">
        <v>0</v>
      </c>
      <c r="U63" s="5" t="n">
        <v>29</v>
      </c>
      <c r="V63" s="5" t="n">
        <v>42</v>
      </c>
      <c r="W63" s="5" t="n">
        <v>41</v>
      </c>
      <c r="X63" s="5" t="n">
        <v>61</v>
      </c>
      <c r="Y63" s="5" t="n">
        <v>39</v>
      </c>
      <c r="Z63" s="5" t="n">
        <v>44</v>
      </c>
      <c r="AA63" s="5" t="n">
        <v>35</v>
      </c>
    </row>
    <row r="64">
      <c r="A64" s="6" t="inlineStr">
        <is>
          <t>S</t>
        </is>
      </c>
      <c r="B64" s="8" t="n">
        <v>68</v>
      </c>
      <c r="C64" s="5" t="n">
        <v>75</v>
      </c>
      <c r="D64" s="5" t="n">
        <v>46</v>
      </c>
      <c r="E64" s="5" t="n">
        <v>43</v>
      </c>
      <c r="F64" s="5" t="n">
        <v>55</v>
      </c>
      <c r="G64" s="5" t="n">
        <v>53</v>
      </c>
      <c r="H64" s="5" t="n">
        <v>50</v>
      </c>
      <c r="I64" s="5" t="n">
        <v>42</v>
      </c>
      <c r="J64" s="5" t="n">
        <v>43</v>
      </c>
      <c r="K64" s="5" t="n">
        <v>36</v>
      </c>
      <c r="L64" s="5" t="n">
        <v>46</v>
      </c>
      <c r="M64" s="5" t="n">
        <v>29</v>
      </c>
      <c r="N64" s="5" t="n">
        <v>34</v>
      </c>
      <c r="O64" s="5" t="n">
        <v>24</v>
      </c>
      <c r="P64" s="5" t="n">
        <v>19</v>
      </c>
      <c r="Q64" s="5" t="n">
        <v>27</v>
      </c>
      <c r="R64" s="5" t="n">
        <v>6</v>
      </c>
      <c r="S64" s="5" t="n">
        <v>20</v>
      </c>
      <c r="T64" s="5" t="n">
        <v>29</v>
      </c>
      <c r="U64" s="7" t="n">
        <v>0</v>
      </c>
      <c r="V64" s="5" t="n">
        <v>15</v>
      </c>
      <c r="W64" s="5" t="n">
        <v>42</v>
      </c>
      <c r="X64" s="5" t="n">
        <v>58</v>
      </c>
      <c r="Y64" s="5" t="n">
        <v>42</v>
      </c>
      <c r="Z64" s="5" t="n">
        <v>39</v>
      </c>
      <c r="AA64" s="5" t="n">
        <v>38</v>
      </c>
    </row>
    <row r="65">
      <c r="A65" s="6" t="inlineStr">
        <is>
          <t>T</t>
        </is>
      </c>
      <c r="B65" s="8" t="n">
        <v>79</v>
      </c>
      <c r="C65" s="5" t="n">
        <v>64</v>
      </c>
      <c r="D65" s="5" t="n">
        <v>67</v>
      </c>
      <c r="E65" s="5" t="n">
        <v>54</v>
      </c>
      <c r="F65" s="5" t="n">
        <v>63</v>
      </c>
      <c r="G65" s="5" t="n">
        <v>52</v>
      </c>
      <c r="H65" s="5" t="n">
        <v>58</v>
      </c>
      <c r="I65" s="5" t="n">
        <v>51</v>
      </c>
      <c r="J65" s="5" t="n">
        <v>51</v>
      </c>
      <c r="K65" s="5" t="n">
        <v>45</v>
      </c>
      <c r="L65" s="5" t="n">
        <v>63</v>
      </c>
      <c r="M65" s="5" t="n">
        <v>46</v>
      </c>
      <c r="N65" s="5" t="n">
        <v>49</v>
      </c>
      <c r="O65" s="5" t="n">
        <v>41</v>
      </c>
      <c r="P65" s="5" t="n">
        <v>40</v>
      </c>
      <c r="Q65" s="5" t="n">
        <v>47</v>
      </c>
      <c r="R65" s="5" t="n">
        <v>22</v>
      </c>
      <c r="S65" s="5" t="n">
        <v>33</v>
      </c>
      <c r="T65" s="5" t="n">
        <v>42</v>
      </c>
      <c r="U65" s="5" t="n">
        <v>15</v>
      </c>
      <c r="V65" s="7" t="n">
        <v>0</v>
      </c>
      <c r="W65" s="5" t="n">
        <v>60</v>
      </c>
      <c r="X65" s="5" t="n">
        <v>79</v>
      </c>
      <c r="Y65" s="5" t="n">
        <v>55</v>
      </c>
      <c r="Z65" s="5" t="n">
        <v>27</v>
      </c>
      <c r="AA65" s="5" t="n">
        <v>54</v>
      </c>
    </row>
    <row r="66">
      <c r="A66" s="6" t="inlineStr">
        <is>
          <t>U</t>
        </is>
      </c>
      <c r="B66" s="8" t="n">
        <v>44</v>
      </c>
      <c r="C66" s="5" t="n">
        <v>42</v>
      </c>
      <c r="D66" s="5" t="n">
        <v>37</v>
      </c>
      <c r="E66" s="5" t="n">
        <v>21</v>
      </c>
      <c r="F66" s="5" t="n">
        <v>34</v>
      </c>
      <c r="G66" s="5" t="n">
        <v>33</v>
      </c>
      <c r="H66" s="5" t="n">
        <v>22</v>
      </c>
      <c r="I66" s="5" t="n">
        <v>25</v>
      </c>
      <c r="J66" s="5" t="n">
        <v>26</v>
      </c>
      <c r="K66" s="5" t="n">
        <v>16</v>
      </c>
      <c r="L66" s="5" t="n">
        <v>25</v>
      </c>
      <c r="M66" s="5" t="n">
        <v>30</v>
      </c>
      <c r="N66" s="5" t="n">
        <v>21</v>
      </c>
      <c r="O66" s="5" t="n">
        <v>30</v>
      </c>
      <c r="P66" s="5" t="n">
        <v>22</v>
      </c>
      <c r="Q66" s="5" t="n">
        <v>27</v>
      </c>
      <c r="R66" s="5" t="n">
        <v>40</v>
      </c>
      <c r="S66" s="5" t="n">
        <v>37</v>
      </c>
      <c r="T66" s="5" t="n">
        <v>41</v>
      </c>
      <c r="U66" s="5" t="n">
        <v>42</v>
      </c>
      <c r="V66" s="5" t="n">
        <v>60</v>
      </c>
      <c r="W66" s="7" t="n">
        <v>0</v>
      </c>
      <c r="X66" s="5" t="n">
        <v>21</v>
      </c>
      <c r="Y66" s="5" t="n">
        <v>27</v>
      </c>
      <c r="Z66" s="5" t="n">
        <v>17</v>
      </c>
      <c r="AA66" s="5" t="n">
        <v>11</v>
      </c>
    </row>
    <row r="67">
      <c r="A67" s="6" t="inlineStr">
        <is>
          <t>V</t>
        </is>
      </c>
      <c r="B67" s="8" t="n">
        <v>34</v>
      </c>
      <c r="C67" s="5" t="n">
        <v>27</v>
      </c>
      <c r="D67" s="5" t="n">
        <v>21</v>
      </c>
      <c r="E67" s="5" t="n">
        <v>10</v>
      </c>
      <c r="F67" s="5" t="n">
        <v>20</v>
      </c>
      <c r="G67" s="5" t="n">
        <v>20</v>
      </c>
      <c r="H67" s="5" t="n">
        <v>12</v>
      </c>
      <c r="I67" s="5" t="n">
        <v>15</v>
      </c>
      <c r="J67" s="5" t="n">
        <v>16</v>
      </c>
      <c r="K67" s="5" t="n">
        <v>3</v>
      </c>
      <c r="L67" s="5" t="n">
        <v>17</v>
      </c>
      <c r="M67" s="5" t="n">
        <v>37</v>
      </c>
      <c r="N67" s="5" t="n">
        <v>31</v>
      </c>
      <c r="O67" s="5" t="n">
        <v>39</v>
      </c>
      <c r="P67" s="5" t="n">
        <v>38</v>
      </c>
      <c r="Q67" s="5" t="n">
        <v>26</v>
      </c>
      <c r="R67" s="5" t="n">
        <v>58</v>
      </c>
      <c r="S67" s="5" t="n">
        <v>62</v>
      </c>
      <c r="T67" s="5" t="n">
        <v>61</v>
      </c>
      <c r="U67" s="5" t="n">
        <v>58</v>
      </c>
      <c r="V67" s="5" t="n">
        <v>79</v>
      </c>
      <c r="W67" s="5" t="n">
        <v>21</v>
      </c>
      <c r="X67" s="7" t="n">
        <v>0</v>
      </c>
      <c r="Y67" s="5" t="n">
        <v>37</v>
      </c>
      <c r="Z67" s="5" t="n">
        <v>29</v>
      </c>
      <c r="AA67" s="5" t="n">
        <v>33</v>
      </c>
    </row>
    <row r="68">
      <c r="A68" s="6" t="inlineStr">
        <is>
          <t>W</t>
        </is>
      </c>
      <c r="B68" s="8" t="n">
        <v>49</v>
      </c>
      <c r="C68" s="5" t="n">
        <v>43</v>
      </c>
      <c r="D68" s="5" t="n">
        <v>44</v>
      </c>
      <c r="E68" s="5" t="n">
        <v>30</v>
      </c>
      <c r="F68" s="5" t="n">
        <v>43</v>
      </c>
      <c r="G68" s="5" t="n">
        <v>42</v>
      </c>
      <c r="H68" s="5" t="n">
        <v>43</v>
      </c>
      <c r="I68" s="5" t="n">
        <v>36</v>
      </c>
      <c r="J68" s="5" t="n">
        <v>36</v>
      </c>
      <c r="K68" s="5" t="n">
        <v>27</v>
      </c>
      <c r="L68" s="5" t="n">
        <v>44</v>
      </c>
      <c r="M68" s="5" t="n">
        <v>53</v>
      </c>
      <c r="N68" s="5" t="n">
        <v>42</v>
      </c>
      <c r="O68" s="5" t="n">
        <v>29</v>
      </c>
      <c r="P68" s="5" t="n">
        <v>25</v>
      </c>
      <c r="Q68" s="5" t="n">
        <v>19</v>
      </c>
      <c r="R68" s="5" t="n">
        <v>39</v>
      </c>
      <c r="S68" s="5" t="n">
        <v>35</v>
      </c>
      <c r="T68" s="5" t="n">
        <v>39</v>
      </c>
      <c r="U68" s="5" t="n">
        <v>42</v>
      </c>
      <c r="V68" s="5" t="n">
        <v>55</v>
      </c>
      <c r="W68" s="5" t="n">
        <v>27</v>
      </c>
      <c r="X68" s="5" t="n">
        <v>37</v>
      </c>
      <c r="Y68" s="7" t="n">
        <v>0</v>
      </c>
      <c r="Z68" s="5" t="n">
        <v>9</v>
      </c>
      <c r="AA68" s="5" t="n">
        <v>20</v>
      </c>
    </row>
    <row r="69">
      <c r="A69" s="6" t="inlineStr">
        <is>
          <t>X</t>
        </is>
      </c>
      <c r="B69" s="8" t="n">
        <v>52</v>
      </c>
      <c r="C69" s="5" t="n">
        <v>47</v>
      </c>
      <c r="D69" s="5" t="n">
        <v>55</v>
      </c>
      <c r="E69" s="5" t="n">
        <v>28</v>
      </c>
      <c r="F69" s="5" t="n">
        <v>40</v>
      </c>
      <c r="G69" s="5" t="n">
        <v>40</v>
      </c>
      <c r="H69" s="5" t="n">
        <v>41</v>
      </c>
      <c r="I69" s="5" t="n">
        <v>35</v>
      </c>
      <c r="J69" s="5" t="n">
        <v>35</v>
      </c>
      <c r="K69" s="5" t="n">
        <v>25</v>
      </c>
      <c r="L69" s="5" t="n">
        <v>45</v>
      </c>
      <c r="M69" s="5" t="n">
        <v>26</v>
      </c>
      <c r="N69" s="5" t="n">
        <v>21</v>
      </c>
      <c r="O69" s="5" t="n">
        <v>27</v>
      </c>
      <c r="P69" s="5" t="n">
        <v>22</v>
      </c>
      <c r="Q69" s="5" t="n">
        <v>17</v>
      </c>
      <c r="R69" s="5" t="n">
        <v>34</v>
      </c>
      <c r="S69" s="5" t="n">
        <v>25</v>
      </c>
      <c r="T69" s="5" t="n">
        <v>44</v>
      </c>
      <c r="U69" s="5" t="n">
        <v>39</v>
      </c>
      <c r="V69" s="5" t="n">
        <v>27</v>
      </c>
      <c r="W69" s="5" t="n">
        <v>17</v>
      </c>
      <c r="X69" s="5" t="n">
        <v>29</v>
      </c>
      <c r="Y69" s="5" t="n">
        <v>9</v>
      </c>
      <c r="Z69" s="7" t="n">
        <v>0</v>
      </c>
      <c r="AA69" s="5" t="n">
        <v>15</v>
      </c>
    </row>
    <row r="70">
      <c r="A70" s="6" t="inlineStr">
        <is>
          <t>Y</t>
        </is>
      </c>
      <c r="B70" s="8" t="n">
        <v>49</v>
      </c>
      <c r="C70" s="5" t="n">
        <v>49</v>
      </c>
      <c r="D70" s="5" t="n">
        <v>30</v>
      </c>
      <c r="E70" s="5" t="n">
        <v>25</v>
      </c>
      <c r="F70" s="5" t="n">
        <v>38</v>
      </c>
      <c r="G70" s="5" t="n">
        <v>38</v>
      </c>
      <c r="H70" s="5" t="n">
        <v>48</v>
      </c>
      <c r="I70" s="5" t="n">
        <v>30</v>
      </c>
      <c r="J70" s="5" t="n">
        <v>31</v>
      </c>
      <c r="K70" s="5" t="n">
        <v>22</v>
      </c>
      <c r="L70" s="5" t="n">
        <v>34</v>
      </c>
      <c r="M70" s="5" t="n">
        <v>34</v>
      </c>
      <c r="N70" s="5" t="n">
        <v>27</v>
      </c>
      <c r="O70" s="5" t="n">
        <v>23</v>
      </c>
      <c r="P70" s="5" t="n">
        <v>17</v>
      </c>
      <c r="Q70" s="5" t="n">
        <v>21</v>
      </c>
      <c r="R70" s="5" t="n">
        <v>41</v>
      </c>
      <c r="S70" s="5" t="n">
        <v>27</v>
      </c>
      <c r="T70" s="5" t="n">
        <v>35</v>
      </c>
      <c r="U70" s="5" t="n">
        <v>38</v>
      </c>
      <c r="V70" s="5" t="n">
        <v>54</v>
      </c>
      <c r="W70" s="5" t="n">
        <v>11</v>
      </c>
      <c r="X70" s="5" t="n">
        <v>33</v>
      </c>
      <c r="Y70" s="5" t="n">
        <v>20</v>
      </c>
      <c r="Z70" s="5" t="n">
        <v>15</v>
      </c>
      <c r="AA70" s="7" t="n">
        <v>0</v>
      </c>
    </row>
  </sheetData>
  <mergeCells count="6">
    <mergeCell ref="G2:I2"/>
    <mergeCell ref="A43:AA43"/>
    <mergeCell ref="R7:R8"/>
    <mergeCell ref="G3:I3"/>
    <mergeCell ref="K34:M34"/>
    <mergeCell ref="U7:U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73"/>
  <sheetViews>
    <sheetView topLeftCell="E1" zoomScale="37" workbookViewId="0">
      <selection activeCell="N22" sqref="N22"/>
    </sheetView>
  </sheetViews>
  <sheetFormatPr baseColWidth="8" defaultRowHeight="14.5"/>
  <cols>
    <col width="17.81640625" customWidth="1" min="3" max="3"/>
    <col width="13.54296875" customWidth="1" min="4" max="4"/>
    <col width="12.08984375" customWidth="1" min="11" max="11"/>
    <col width="16.54296875" customWidth="1" min="13" max="13"/>
    <col width="18.1796875" customWidth="1" min="14" max="14"/>
    <col width="16.08984375" customWidth="1" min="18" max="18"/>
    <col width="10.36328125" customWidth="1" min="19" max="19"/>
    <col width="15" customWidth="1" min="21" max="21"/>
    <col width="14.81640625" customWidth="1" min="32" max="32"/>
    <col width="18.26953125" customWidth="1" min="34" max="34"/>
    <col width="13.81640625" customWidth="1" min="40" max="40"/>
    <col width="16.36328125" customWidth="1" min="42" max="42"/>
    <col width="18.81640625" customWidth="1" min="48" max="48"/>
    <col width="16.90625" customWidth="1" min="50" max="50"/>
  </cols>
  <sheetData>
    <row r="1">
      <c r="AC1" s="30" t="n"/>
    </row>
    <row r="2">
      <c r="G2" s="87" t="inlineStr">
        <is>
          <t>CDD (COLT DIESEL DOUBLE)</t>
        </is>
      </c>
      <c r="H2" s="136" t="n"/>
      <c r="I2" s="137" t="n"/>
      <c r="AC2" s="30" t="n"/>
    </row>
    <row r="3">
      <c r="G3" s="87" t="inlineStr">
        <is>
          <t>4 TON</t>
        </is>
      </c>
      <c r="H3" s="136" t="n"/>
      <c r="I3" s="137" t="n"/>
      <c r="AC3" s="30" t="n"/>
    </row>
    <row r="4">
      <c r="K4" s="8" t="inlineStr">
        <is>
          <t>TRUK</t>
        </is>
      </c>
      <c r="L4" s="8" t="n">
        <v>3</v>
      </c>
      <c r="AC4" s="30" t="n"/>
    </row>
    <row r="5" ht="14.5" customHeight="1">
      <c r="K5" s="8" t="inlineStr">
        <is>
          <t>KAPASITAS</t>
        </is>
      </c>
      <c r="L5" s="8" t="n">
        <v>5000</v>
      </c>
      <c r="AC5" s="30" t="n"/>
    </row>
    <row r="6">
      <c r="AC6" s="30" t="n"/>
      <c r="AF6" s="8" t="inlineStr">
        <is>
          <t>TRUK</t>
        </is>
      </c>
      <c r="AG6" s="8" t="n">
        <v>1</v>
      </c>
      <c r="AN6" s="8" t="inlineStr">
        <is>
          <t>TRUK</t>
        </is>
      </c>
      <c r="AO6" s="8" t="n">
        <v>2</v>
      </c>
      <c r="AV6" s="8" t="inlineStr">
        <is>
          <t>TRUK</t>
        </is>
      </c>
      <c r="AW6" s="8" t="n">
        <v>3</v>
      </c>
    </row>
    <row r="7">
      <c r="K7" s="8" t="inlineStr">
        <is>
          <t>RUTE</t>
        </is>
      </c>
      <c r="L7" s="8" t="inlineStr">
        <is>
          <t>TRUK</t>
        </is>
      </c>
      <c r="M7" s="8" t="inlineStr">
        <is>
          <t>RUTE TIAP TRUK</t>
        </is>
      </c>
      <c r="N7" s="8" t="inlineStr">
        <is>
          <t>JARAK</t>
        </is>
      </c>
      <c r="O7" s="8" t="inlineStr">
        <is>
          <t>ORDER</t>
        </is>
      </c>
      <c r="R7" s="87" t="inlineStr">
        <is>
          <t>TOTAL DISTANCE</t>
        </is>
      </c>
      <c r="S7" s="8" t="n"/>
      <c r="U7" s="88" t="inlineStr">
        <is>
          <t>TOTAL LOAD</t>
        </is>
      </c>
      <c r="V7" s="8" t="n"/>
      <c r="AC7" s="30" t="n"/>
      <c r="AF7" s="8" t="inlineStr">
        <is>
          <t>KAPASITAS</t>
        </is>
      </c>
      <c r="AG7" s="8" t="n">
        <v>5000</v>
      </c>
      <c r="AN7" s="8" t="inlineStr">
        <is>
          <t>KAPASITAS</t>
        </is>
      </c>
      <c r="AO7" s="8" t="n">
        <v>5000</v>
      </c>
      <c r="AV7" s="8" t="inlineStr">
        <is>
          <t>KAPASITAS</t>
        </is>
      </c>
      <c r="AW7" s="8" t="n">
        <v>5000</v>
      </c>
    </row>
    <row r="8">
      <c r="K8" s="5" t="n">
        <v>0</v>
      </c>
      <c r="L8" s="8" t="n"/>
      <c r="M8" s="8" t="n">
        <v>0</v>
      </c>
      <c r="N8" s="8" t="n"/>
      <c r="O8" s="8" t="n"/>
      <c r="R8" s="135" t="n"/>
      <c r="S8" s="8">
        <f>N34</f>
        <v/>
      </c>
      <c r="U8" s="135" t="n"/>
      <c r="V8" s="8">
        <f>O34</f>
        <v/>
      </c>
      <c r="AC8" s="30" t="n"/>
      <c r="AF8" s="31" t="n"/>
      <c r="AN8" s="31" t="n"/>
    </row>
    <row r="9">
      <c r="J9" s="5" t="inlineStr">
        <is>
          <t>A</t>
        </is>
      </c>
      <c r="K9" s="5" t="n">
        <v>1</v>
      </c>
      <c r="L9" s="8" t="n">
        <v>2</v>
      </c>
      <c r="M9" s="8">
        <f>IF($L$4=L9,K9,$M$8)</f>
        <v/>
      </c>
      <c r="N9" s="8">
        <f t="array" ref="N9">INDEX($B$45:$AA$70,M8+1,M9+1)</f>
        <v/>
      </c>
      <c r="O9" s="8">
        <f>IF(L9=$L$4,VLOOKUP(K9,$B$16:$D$40,3,FALSE),0)</f>
        <v/>
      </c>
      <c r="R9" s="8" t="n">
        <v>1</v>
      </c>
      <c r="S9" s="8">
        <f t="dataTable" ref="S9:S11" dt2D="0" dtr="0" r1="L4"/>
        <v/>
      </c>
      <c r="U9" s="8" t="n">
        <v>1</v>
      </c>
      <c r="V9" s="8">
        <f t="dataTable" ref="V9:V11" dt2D="0" dtr="0" r1="L4" ca="1"/>
        <v/>
      </c>
      <c r="AC9" s="30" t="n"/>
      <c r="AE9" s="5" t="n"/>
      <c r="AF9" s="5" t="inlineStr">
        <is>
          <t>RUTE</t>
        </is>
      </c>
      <c r="AG9" s="8" t="inlineStr">
        <is>
          <t>TRUK</t>
        </is>
      </c>
      <c r="AH9" s="8" t="inlineStr">
        <is>
          <t>RUTE TIAP TRUK</t>
        </is>
      </c>
      <c r="AI9" s="8" t="inlineStr">
        <is>
          <t>JARAK</t>
        </is>
      </c>
      <c r="AJ9" s="8" t="inlineStr">
        <is>
          <t>ORDER</t>
        </is>
      </c>
      <c r="AM9" s="5" t="n"/>
      <c r="AN9" s="5" t="inlineStr">
        <is>
          <t>RUTE</t>
        </is>
      </c>
      <c r="AO9" s="8" t="inlineStr">
        <is>
          <t>TRUK</t>
        </is>
      </c>
      <c r="AP9" s="8" t="inlineStr">
        <is>
          <t>RUTE TIAP TRUK</t>
        </is>
      </c>
      <c r="AQ9" s="8" t="inlineStr">
        <is>
          <t>JARAK</t>
        </is>
      </c>
      <c r="AR9" s="8" t="inlineStr">
        <is>
          <t>ORDER</t>
        </is>
      </c>
      <c r="AV9" s="8" t="inlineStr">
        <is>
          <t>RUTE</t>
        </is>
      </c>
      <c r="AW9" s="8" t="inlineStr">
        <is>
          <t>TRUK</t>
        </is>
      </c>
      <c r="AX9" s="8" t="inlineStr">
        <is>
          <t>RUTE TIAP TRUK</t>
        </is>
      </c>
      <c r="AY9" s="8" t="inlineStr">
        <is>
          <t>JARAK</t>
        </is>
      </c>
      <c r="AZ9" s="8" t="inlineStr">
        <is>
          <t>ORDER</t>
        </is>
      </c>
    </row>
    <row r="10">
      <c r="J10" s="5" t="inlineStr">
        <is>
          <t>B</t>
        </is>
      </c>
      <c r="K10" s="5" t="n">
        <v>2</v>
      </c>
      <c r="L10" s="8" t="n">
        <v>2</v>
      </c>
      <c r="M10" s="8">
        <f>IF($L$4=L10,K10,$M$8)</f>
        <v/>
      </c>
      <c r="N10" s="8">
        <f t="array" ref="N10">INDEX($B$45:$AA$70,M9+1,M10+1)</f>
        <v/>
      </c>
      <c r="O10" s="8">
        <f>IF(L10=$L$4,VLOOKUP(K10,$B$16:$D$40,3,FALSE),0)</f>
        <v/>
      </c>
      <c r="R10" s="8" t="n">
        <v>2</v>
      </c>
      <c r="S10" s="8" t="n">
        <v>159</v>
      </c>
      <c r="U10" s="8" t="n">
        <v>2</v>
      </c>
      <c r="V10" s="8" t="n">
        <v>3670</v>
      </c>
      <c r="AC10" s="30" t="n"/>
      <c r="AE10" s="5" t="n"/>
      <c r="AF10" s="5" t="n">
        <v>0</v>
      </c>
      <c r="AG10" s="8" t="n"/>
      <c r="AH10" s="8" t="n">
        <v>0</v>
      </c>
      <c r="AI10" s="8" t="n"/>
      <c r="AJ10" s="8" t="n"/>
      <c r="AM10" s="5" t="n"/>
      <c r="AN10" s="5" t="n">
        <v>0</v>
      </c>
      <c r="AO10" s="8" t="n"/>
      <c r="AP10" s="8" t="n">
        <v>0</v>
      </c>
      <c r="AQ10" s="8" t="n"/>
      <c r="AR10" s="8" t="n"/>
      <c r="AV10" s="5" t="n">
        <v>0</v>
      </c>
      <c r="AW10" s="8" t="n"/>
      <c r="AX10" s="8" t="n">
        <v>0</v>
      </c>
      <c r="AY10" s="8" t="n"/>
      <c r="AZ10" s="8" t="n"/>
    </row>
    <row r="11">
      <c r="J11" s="5" t="inlineStr">
        <is>
          <t>C</t>
        </is>
      </c>
      <c r="K11" s="5" t="n">
        <v>3</v>
      </c>
      <c r="L11" s="8" t="n">
        <v>2</v>
      </c>
      <c r="M11" s="8">
        <f>IF($L$4=L11,K11,$M$8)</f>
        <v/>
      </c>
      <c r="N11" s="8">
        <f t="array" ref="N11">INDEX($B$45:$AA$70,M10+1,M11+1)</f>
        <v/>
      </c>
      <c r="O11" s="8">
        <f>IF(L11=$L$4,VLOOKUP(K11,$B$16:$D$40,3,FALSE),0)</f>
        <v/>
      </c>
      <c r="R11" s="8" t="n">
        <v>3</v>
      </c>
      <c r="S11" s="8" t="n">
        <v>67.09999999999999</v>
      </c>
      <c r="U11" s="8" t="n">
        <v>3</v>
      </c>
      <c r="V11" s="8" t="n">
        <v>1880</v>
      </c>
      <c r="AC11" s="30" t="n"/>
      <c r="AE11" s="5" t="inlineStr">
        <is>
          <t>A</t>
        </is>
      </c>
      <c r="AF11" s="5" t="n">
        <v>1</v>
      </c>
      <c r="AG11" s="8" t="n">
        <v>2</v>
      </c>
      <c r="AH11" s="8" t="n">
        <v>0</v>
      </c>
      <c r="AI11" s="8" t="n">
        <v>0</v>
      </c>
      <c r="AJ11" s="8" t="n">
        <v>0</v>
      </c>
      <c r="AM11" s="5" t="inlineStr">
        <is>
          <t>A</t>
        </is>
      </c>
      <c r="AN11" s="5" t="n">
        <v>1</v>
      </c>
      <c r="AO11" s="8" t="n">
        <v>2</v>
      </c>
      <c r="AP11" s="8" t="n">
        <v>1</v>
      </c>
      <c r="AQ11" s="8" t="n">
        <v>9.4</v>
      </c>
      <c r="AR11" s="8" t="n">
        <v>350</v>
      </c>
      <c r="AU11" s="5" t="inlineStr">
        <is>
          <t>A</t>
        </is>
      </c>
      <c r="AV11" s="5" t="n">
        <v>1</v>
      </c>
      <c r="AW11" s="8" t="n">
        <v>2</v>
      </c>
      <c r="AX11" s="8" t="n">
        <v>0</v>
      </c>
      <c r="AY11" s="8" t="n">
        <v>0</v>
      </c>
      <c r="AZ11" s="8" t="n">
        <v>0</v>
      </c>
    </row>
    <row r="12">
      <c r="J12" s="5" t="inlineStr">
        <is>
          <t>D</t>
        </is>
      </c>
      <c r="K12" s="5" t="n">
        <v>4</v>
      </c>
      <c r="L12" s="8" t="n">
        <v>1</v>
      </c>
      <c r="M12" s="8">
        <f>IF($L$4=L12,K12,$M$8)</f>
        <v/>
      </c>
      <c r="N12" s="8">
        <f t="array" ref="N12">INDEX($B$45:$AA$70,M11+1,M12+1)</f>
        <v/>
      </c>
      <c r="O12" s="8">
        <f>IF(L12=$L$4,VLOOKUP(K12,$B$16:$D$40,3,FALSE),0)</f>
        <v/>
      </c>
      <c r="R12" t="inlineStr">
        <is>
          <t>TOTAL DISTANCE</t>
        </is>
      </c>
      <c r="S12">
        <f>SUM(S9:S11)</f>
        <v/>
      </c>
      <c r="U12" t="inlineStr">
        <is>
          <t>TOTAL LOAD</t>
        </is>
      </c>
      <c r="V12">
        <f>SUM(V9:V11)</f>
        <v/>
      </c>
      <c r="AC12" s="30" t="n"/>
      <c r="AE12" s="5" t="inlineStr">
        <is>
          <t>B</t>
        </is>
      </c>
      <c r="AF12" s="5" t="n">
        <v>2</v>
      </c>
      <c r="AG12" s="8" t="n">
        <v>2</v>
      </c>
      <c r="AH12" s="8" t="n">
        <v>0</v>
      </c>
      <c r="AI12" s="8" t="n">
        <v>0</v>
      </c>
      <c r="AJ12" s="8" t="n">
        <v>0</v>
      </c>
      <c r="AM12" s="5" t="inlineStr">
        <is>
          <t>B</t>
        </is>
      </c>
      <c r="AN12" s="5" t="n">
        <v>2</v>
      </c>
      <c r="AO12" s="8" t="n">
        <v>2</v>
      </c>
      <c r="AP12" s="8" t="n">
        <v>2</v>
      </c>
      <c r="AQ12" s="8" t="n">
        <v>8</v>
      </c>
      <c r="AR12" s="8" t="n">
        <v>280</v>
      </c>
      <c r="AU12" s="5" t="inlineStr">
        <is>
          <t>B</t>
        </is>
      </c>
      <c r="AV12" s="5" t="n">
        <v>2</v>
      </c>
      <c r="AW12" s="8" t="n">
        <v>2</v>
      </c>
      <c r="AX12" s="8" t="n">
        <v>0</v>
      </c>
      <c r="AY12" s="8" t="n">
        <v>0</v>
      </c>
      <c r="AZ12" s="8" t="n">
        <v>0</v>
      </c>
    </row>
    <row r="13">
      <c r="J13" s="5" t="inlineStr">
        <is>
          <t>E</t>
        </is>
      </c>
      <c r="K13" s="5" t="n">
        <v>5</v>
      </c>
      <c r="L13" s="8" t="n">
        <v>1</v>
      </c>
      <c r="M13" s="8">
        <f>IF($L$4=L13,K13,$M$8)</f>
        <v/>
      </c>
      <c r="N13" s="8">
        <f t="array" ref="N13">INDEX($B$45:$AA$70,M12+1,M13+1)</f>
        <v/>
      </c>
      <c r="O13" s="8">
        <f>IF(L13=$L$4,VLOOKUP(K13,$B$16:$D$40,3,FALSE),0)</f>
        <v/>
      </c>
      <c r="AC13" s="30" t="n"/>
      <c r="AE13" s="5" t="inlineStr">
        <is>
          <t>C</t>
        </is>
      </c>
      <c r="AF13" s="5" t="n">
        <v>3</v>
      </c>
      <c r="AG13" s="8" t="n">
        <v>2</v>
      </c>
      <c r="AH13" s="8" t="n">
        <v>0</v>
      </c>
      <c r="AI13" s="8" t="n">
        <v>0</v>
      </c>
      <c r="AJ13" s="8" t="n">
        <v>0</v>
      </c>
      <c r="AM13" s="5" t="inlineStr">
        <is>
          <t>C</t>
        </is>
      </c>
      <c r="AN13" s="5" t="n">
        <v>3</v>
      </c>
      <c r="AO13" s="8" t="n">
        <v>2</v>
      </c>
      <c r="AP13" s="8" t="n">
        <v>3</v>
      </c>
      <c r="AQ13" s="8" t="n">
        <v>3.6</v>
      </c>
      <c r="AR13" s="8" t="n">
        <v>320</v>
      </c>
      <c r="AU13" s="5" t="inlineStr">
        <is>
          <t>C</t>
        </is>
      </c>
      <c r="AV13" s="5" t="n">
        <v>3</v>
      </c>
      <c r="AW13" s="8" t="n">
        <v>2</v>
      </c>
      <c r="AX13" s="8" t="n">
        <v>0</v>
      </c>
      <c r="AY13" s="8" t="n">
        <v>0</v>
      </c>
      <c r="AZ13" s="8" t="n">
        <v>0</v>
      </c>
    </row>
    <row r="14" ht="29" customHeight="1">
      <c r="A14" s="4" t="inlineStr">
        <is>
          <t>Kode</t>
        </is>
      </c>
      <c r="B14" s="4" t="inlineStr">
        <is>
          <t>Kode</t>
        </is>
      </c>
      <c r="C14" s="4" t="inlineStr">
        <is>
          <t>Lokasi</t>
        </is>
      </c>
      <c r="D14" s="4" t="inlineStr">
        <is>
          <t>Permintaan (kg)</t>
        </is>
      </c>
      <c r="J14" s="5" t="inlineStr">
        <is>
          <t>F</t>
        </is>
      </c>
      <c r="K14" s="5" t="n">
        <v>6</v>
      </c>
      <c r="L14" s="8" t="n">
        <v>1</v>
      </c>
      <c r="M14" s="8">
        <f>IF($L$4=L14,K14,$M$8)</f>
        <v/>
      </c>
      <c r="N14" s="8">
        <f t="array" ref="N14">INDEX($B$45:$AA$70,M13+1,M14+1)</f>
        <v/>
      </c>
      <c r="O14" s="8">
        <f>IF(L14=$L$4,VLOOKUP(K14,$B$16:$D$40,3,FALSE),0)</f>
        <v/>
      </c>
      <c r="AC14" s="30" t="n"/>
      <c r="AE14" s="5" t="inlineStr">
        <is>
          <t>D</t>
        </is>
      </c>
      <c r="AF14" s="5" t="n">
        <v>4</v>
      </c>
      <c r="AG14" s="8" t="n">
        <v>1</v>
      </c>
      <c r="AH14" s="8" t="n">
        <v>4</v>
      </c>
      <c r="AI14" s="8" t="n">
        <v>14.5</v>
      </c>
      <c r="AJ14" s="8" t="n">
        <v>400</v>
      </c>
      <c r="AM14" s="5" t="inlineStr">
        <is>
          <t>D</t>
        </is>
      </c>
      <c r="AN14" s="5" t="n">
        <v>4</v>
      </c>
      <c r="AO14" s="8" t="n">
        <v>1</v>
      </c>
      <c r="AP14" s="8" t="n">
        <v>0</v>
      </c>
      <c r="AQ14" s="8" t="n">
        <v>0</v>
      </c>
      <c r="AR14" s="8" t="n">
        <v>0</v>
      </c>
      <c r="AU14" s="5" t="inlineStr">
        <is>
          <t>D</t>
        </is>
      </c>
      <c r="AV14" s="5" t="n">
        <v>4</v>
      </c>
      <c r="AW14" s="8" t="n">
        <v>1</v>
      </c>
      <c r="AX14" s="8" t="n">
        <v>0</v>
      </c>
      <c r="AY14" s="8" t="n">
        <v>0</v>
      </c>
      <c r="AZ14" s="8" t="n">
        <v>0</v>
      </c>
    </row>
    <row r="15">
      <c r="A15" s="8" t="n"/>
      <c r="B15" s="5" t="n">
        <v>0</v>
      </c>
      <c r="C15" s="5" t="inlineStr">
        <is>
          <t>Gudang</t>
        </is>
      </c>
      <c r="D15" s="5" t="n">
        <v>0</v>
      </c>
      <c r="J15" s="5" t="inlineStr">
        <is>
          <t>G</t>
        </is>
      </c>
      <c r="K15" s="5" t="n">
        <v>7</v>
      </c>
      <c r="L15" s="8" t="n">
        <v>1</v>
      </c>
      <c r="M15" s="8">
        <f>IF($L$4=L15,K15,$M$8)</f>
        <v/>
      </c>
      <c r="N15" s="8">
        <f t="array" ref="N15">INDEX($B$45:$AA$70,M14+1,M15+1)</f>
        <v/>
      </c>
      <c r="O15" s="8">
        <f>IF(L15=$L$4,VLOOKUP(K15,$B$16:$D$40,3,FALSE),0)</f>
        <v/>
      </c>
      <c r="AC15" s="30" t="n"/>
      <c r="AE15" s="5" t="inlineStr">
        <is>
          <t>E</t>
        </is>
      </c>
      <c r="AF15" s="5" t="n">
        <v>5</v>
      </c>
      <c r="AG15" s="8" t="n">
        <v>1</v>
      </c>
      <c r="AH15" s="8" t="n">
        <v>5</v>
      </c>
      <c r="AI15" s="8" t="n">
        <v>4.7</v>
      </c>
      <c r="AJ15" s="8" t="n">
        <v>450</v>
      </c>
      <c r="AM15" s="5" t="inlineStr">
        <is>
          <t>E</t>
        </is>
      </c>
      <c r="AN15" s="5" t="n">
        <v>5</v>
      </c>
      <c r="AO15" s="8" t="n">
        <v>1</v>
      </c>
      <c r="AP15" s="8" t="n">
        <v>0</v>
      </c>
      <c r="AQ15" s="8" t="n">
        <v>0</v>
      </c>
      <c r="AR15" s="8" t="n">
        <v>0</v>
      </c>
      <c r="AU15" s="5" t="inlineStr">
        <is>
          <t>E</t>
        </is>
      </c>
      <c r="AV15" s="5" t="n">
        <v>5</v>
      </c>
      <c r="AW15" s="8" t="n">
        <v>1</v>
      </c>
      <c r="AX15" s="8" t="n">
        <v>0</v>
      </c>
      <c r="AY15" s="8" t="n">
        <v>0</v>
      </c>
      <c r="AZ15" s="8" t="n">
        <v>0</v>
      </c>
    </row>
    <row r="16">
      <c r="A16" s="5" t="inlineStr">
        <is>
          <t>A</t>
        </is>
      </c>
      <c r="B16" s="5" t="n">
        <v>1</v>
      </c>
      <c r="C16" s="5" t="inlineStr">
        <is>
          <t>Mengwi</t>
        </is>
      </c>
      <c r="D16" s="5" t="n">
        <v>350</v>
      </c>
      <c r="J16" s="5" t="inlineStr">
        <is>
          <t>H</t>
        </is>
      </c>
      <c r="K16" s="5" t="n">
        <v>8</v>
      </c>
      <c r="L16" s="8" t="n">
        <v>1</v>
      </c>
      <c r="M16" s="8">
        <f>IF($L$4=L16,K16,$M$8)</f>
        <v/>
      </c>
      <c r="N16" s="8">
        <f t="array" ref="N16">INDEX($B$45:$AA$70,M15+1,M16+1)</f>
        <v/>
      </c>
      <c r="O16" s="8">
        <f>IF(L16=$L$4,VLOOKUP(K16,$B$16:$D$40,3,FALSE),0)</f>
        <v/>
      </c>
      <c r="R16" s="29" t="inlineStr">
        <is>
          <t>RUTE TRUK 1</t>
        </is>
      </c>
      <c r="S16" s="29" t="inlineStr">
        <is>
          <t>GUDANG - 4 - 5 - 6 - 7 - 8 -  9 - 21 - 22 - 23 - 24 - 25 - GUDANG</t>
        </is>
      </c>
      <c r="T16" s="29" t="n"/>
      <c r="U16" s="29" t="n"/>
      <c r="V16" s="29" t="n"/>
      <c r="AC16" s="30" t="n"/>
      <c r="AE16" s="5" t="inlineStr">
        <is>
          <t>F</t>
        </is>
      </c>
      <c r="AF16" s="5" t="n">
        <v>6</v>
      </c>
      <c r="AG16" s="8" t="n">
        <v>1</v>
      </c>
      <c r="AH16" s="8" t="n">
        <v>6</v>
      </c>
      <c r="AI16" s="8" t="n">
        <v>5.2</v>
      </c>
      <c r="AJ16" s="8" t="n">
        <v>500</v>
      </c>
      <c r="AM16" s="5" t="inlineStr">
        <is>
          <t>F</t>
        </is>
      </c>
      <c r="AN16" s="5" t="n">
        <v>6</v>
      </c>
      <c r="AO16" s="8" t="n">
        <v>1</v>
      </c>
      <c r="AP16" s="8" t="n">
        <v>0</v>
      </c>
      <c r="AQ16" s="8" t="n">
        <v>0</v>
      </c>
      <c r="AR16" s="8" t="n">
        <v>0</v>
      </c>
      <c r="AU16" s="5" t="inlineStr">
        <is>
          <t>F</t>
        </is>
      </c>
      <c r="AV16" s="5" t="n">
        <v>6</v>
      </c>
      <c r="AW16" s="8" t="n">
        <v>1</v>
      </c>
      <c r="AX16" s="8" t="n">
        <v>0</v>
      </c>
      <c r="AY16" s="8" t="n">
        <v>0</v>
      </c>
      <c r="AZ16" s="8" t="n">
        <v>0</v>
      </c>
    </row>
    <row r="17">
      <c r="A17" s="5" t="inlineStr">
        <is>
          <t>B</t>
        </is>
      </c>
      <c r="B17" s="5" t="n">
        <v>2</v>
      </c>
      <c r="C17" s="5" t="inlineStr">
        <is>
          <t>Buduk</t>
        </is>
      </c>
      <c r="D17" s="5" t="n">
        <v>280</v>
      </c>
      <c r="J17" s="5" t="inlineStr">
        <is>
          <t>I</t>
        </is>
      </c>
      <c r="K17" s="5" t="n">
        <v>9</v>
      </c>
      <c r="L17" s="8" t="n">
        <v>1</v>
      </c>
      <c r="M17" s="8">
        <f>IF($L$4=L17,K17,$M$8)</f>
        <v/>
      </c>
      <c r="N17" s="8">
        <f t="array" ref="N17">INDEX($B$45:$AA$70,M16+1,M17+1)</f>
        <v/>
      </c>
      <c r="O17" s="8">
        <f>IF(L17=$L$4,VLOOKUP(K17,$B$16:$D$40,3,FALSE),0)</f>
        <v/>
      </c>
      <c r="R17" s="29" t="inlineStr">
        <is>
          <t>RUTE TRUK 2</t>
        </is>
      </c>
      <c r="S17" s="29" t="inlineStr">
        <is>
          <t>GUDANG - 1 - 2 - 3 - 14 - 15 - 16 - 17 - 18 - 19 - 20 - GUDANG</t>
        </is>
      </c>
      <c r="T17" s="29" t="n"/>
      <c r="U17" s="29" t="n"/>
      <c r="V17" s="29" t="n"/>
      <c r="AC17" s="30" t="n"/>
      <c r="AE17" s="5" t="inlineStr">
        <is>
          <t>G</t>
        </is>
      </c>
      <c r="AF17" s="5" t="n">
        <v>7</v>
      </c>
      <c r="AG17" s="8" t="n">
        <v>1</v>
      </c>
      <c r="AH17" s="8" t="n">
        <v>7</v>
      </c>
      <c r="AI17" s="8" t="n">
        <v>2.7</v>
      </c>
      <c r="AJ17" s="8" t="n">
        <v>480</v>
      </c>
      <c r="AM17" s="5" t="inlineStr">
        <is>
          <t>G</t>
        </is>
      </c>
      <c r="AN17" s="5" t="n">
        <v>7</v>
      </c>
      <c r="AO17" s="8" t="n">
        <v>1</v>
      </c>
      <c r="AP17" s="8" t="n">
        <v>0</v>
      </c>
      <c r="AQ17" s="8" t="n">
        <v>0</v>
      </c>
      <c r="AR17" s="8" t="n">
        <v>0</v>
      </c>
      <c r="AU17" s="5" t="inlineStr">
        <is>
          <t>G</t>
        </is>
      </c>
      <c r="AV17" s="5" t="n">
        <v>7</v>
      </c>
      <c r="AW17" s="8" t="n">
        <v>1</v>
      </c>
      <c r="AX17" s="8" t="n">
        <v>0</v>
      </c>
      <c r="AY17" s="8" t="n">
        <v>0</v>
      </c>
      <c r="AZ17" s="8" t="n">
        <v>0</v>
      </c>
    </row>
    <row r="18">
      <c r="A18" s="5" t="inlineStr">
        <is>
          <t>C</t>
        </is>
      </c>
      <c r="B18" s="5" t="n">
        <v>3</v>
      </c>
      <c r="C18" s="5" t="inlineStr">
        <is>
          <t>Sempidi</t>
        </is>
      </c>
      <c r="D18" s="5" t="n">
        <v>320</v>
      </c>
      <c r="J18" s="5" t="inlineStr">
        <is>
          <t>J</t>
        </is>
      </c>
      <c r="K18" s="5" t="n">
        <v>10</v>
      </c>
      <c r="L18" s="8" t="n">
        <v>3</v>
      </c>
      <c r="M18" s="8">
        <f>IF($L$4=L18,K18,$M$8)</f>
        <v/>
      </c>
      <c r="N18" s="8">
        <f t="array" ref="N18">INDEX($B$45:$AA$70,M17+1,M18+1)</f>
        <v/>
      </c>
      <c r="O18" s="8">
        <f>IF(L18=$L$4,VLOOKUP(K18,$B$16:$D$40,3,FALSE),0)</f>
        <v/>
      </c>
      <c r="R18" s="29" t="inlineStr">
        <is>
          <t>RUTE TRUK 3</t>
        </is>
      </c>
      <c r="S18" s="29" t="inlineStr">
        <is>
          <t>GUDANG - 10 - 11 - 12 - 13 - GUDANG</t>
        </is>
      </c>
      <c r="T18" s="29" t="n"/>
      <c r="U18" s="29" t="n"/>
      <c r="V18" s="29" t="n"/>
      <c r="AC18" s="30" t="n"/>
      <c r="AE18" s="5" t="inlineStr">
        <is>
          <t>H</t>
        </is>
      </c>
      <c r="AF18" s="5" t="n">
        <v>8</v>
      </c>
      <c r="AG18" s="8" t="n">
        <v>1</v>
      </c>
      <c r="AH18" s="8" t="n">
        <v>8</v>
      </c>
      <c r="AI18" s="8" t="n">
        <v>3</v>
      </c>
      <c r="AJ18" s="8" t="n">
        <v>300</v>
      </c>
      <c r="AM18" s="5" t="inlineStr">
        <is>
          <t>H</t>
        </is>
      </c>
      <c r="AN18" s="5" t="n">
        <v>8</v>
      </c>
      <c r="AO18" s="8" t="n">
        <v>1</v>
      </c>
      <c r="AP18" s="8" t="n">
        <v>0</v>
      </c>
      <c r="AQ18" s="8" t="n">
        <v>0</v>
      </c>
      <c r="AR18" s="8" t="n">
        <v>0</v>
      </c>
      <c r="AU18" s="5" t="inlineStr">
        <is>
          <t>H</t>
        </is>
      </c>
      <c r="AV18" s="5" t="n">
        <v>8</v>
      </c>
      <c r="AW18" s="8" t="n">
        <v>1</v>
      </c>
      <c r="AX18" s="8" t="n">
        <v>0</v>
      </c>
      <c r="AY18" s="8" t="n">
        <v>0</v>
      </c>
      <c r="AZ18" s="8" t="n">
        <v>0</v>
      </c>
    </row>
    <row r="19">
      <c r="A19" s="5" t="inlineStr">
        <is>
          <t>D</t>
        </is>
      </c>
      <c r="B19" s="5" t="n">
        <v>4</v>
      </c>
      <c r="C19" s="5" t="inlineStr">
        <is>
          <t>Dalung</t>
        </is>
      </c>
      <c r="D19" s="5" t="n">
        <v>400</v>
      </c>
      <c r="J19" s="5" t="inlineStr">
        <is>
          <t>K</t>
        </is>
      </c>
      <c r="K19" s="5" t="n">
        <v>11</v>
      </c>
      <c r="L19" s="8" t="n">
        <v>3</v>
      </c>
      <c r="M19" s="8">
        <f>IF($L$4=L19,K19,$M$8)</f>
        <v/>
      </c>
      <c r="N19" s="8">
        <f t="array" ref="N19">INDEX($B$45:$AA$70,M18+1,M19+1)</f>
        <v/>
      </c>
      <c r="O19" s="8">
        <f>IF(L19=$L$4,VLOOKUP(K19,$B$16:$D$40,3,FALSE),0)</f>
        <v/>
      </c>
      <c r="AC19" s="30" t="n"/>
      <c r="AE19" s="5" t="inlineStr">
        <is>
          <t>I</t>
        </is>
      </c>
      <c r="AF19" s="5" t="n">
        <v>9</v>
      </c>
      <c r="AG19" s="8" t="n">
        <v>1</v>
      </c>
      <c r="AH19" s="8" t="n">
        <v>9</v>
      </c>
      <c r="AI19" s="8" t="n">
        <v>5.9</v>
      </c>
      <c r="AJ19" s="8" t="n">
        <v>420</v>
      </c>
      <c r="AM19" s="5" t="inlineStr">
        <is>
          <t>I</t>
        </is>
      </c>
      <c r="AN19" s="5" t="n">
        <v>9</v>
      </c>
      <c r="AO19" s="8" t="n">
        <v>1</v>
      </c>
      <c r="AP19" s="8" t="n">
        <v>0</v>
      </c>
      <c r="AQ19" s="8" t="n">
        <v>0</v>
      </c>
      <c r="AR19" s="8" t="n">
        <v>0</v>
      </c>
      <c r="AU19" s="5" t="inlineStr">
        <is>
          <t>I</t>
        </is>
      </c>
      <c r="AV19" s="5" t="n">
        <v>9</v>
      </c>
      <c r="AW19" s="8" t="n">
        <v>1</v>
      </c>
      <c r="AX19" s="8" t="n">
        <v>0</v>
      </c>
      <c r="AY19" s="8" t="n">
        <v>0</v>
      </c>
      <c r="AZ19" s="8" t="n">
        <v>0</v>
      </c>
    </row>
    <row r="20">
      <c r="A20" s="5" t="inlineStr">
        <is>
          <t>E</t>
        </is>
      </c>
      <c r="B20" s="5" t="n">
        <v>5</v>
      </c>
      <c r="C20" s="5" t="inlineStr">
        <is>
          <t>Tibubeneng</t>
        </is>
      </c>
      <c r="D20" s="5" t="n">
        <v>450</v>
      </c>
      <c r="J20" s="5" t="inlineStr">
        <is>
          <t>L</t>
        </is>
      </c>
      <c r="K20" s="5" t="n">
        <v>12</v>
      </c>
      <c r="L20" s="8" t="n">
        <v>3</v>
      </c>
      <c r="M20" s="8">
        <f>IF($L$4=L20,K20,$M$8)</f>
        <v/>
      </c>
      <c r="N20" s="8">
        <f t="array" ref="N20">INDEX($B$45:$AA$70,M19+1,M20+1)</f>
        <v/>
      </c>
      <c r="O20" s="8">
        <f>IF(L20=$L$4,VLOOKUP(K20,$B$16:$D$40,3,FALSE),0)</f>
        <v/>
      </c>
      <c r="AC20" s="30" t="n"/>
      <c r="AE20" s="5" t="inlineStr">
        <is>
          <t>J</t>
        </is>
      </c>
      <c r="AF20" s="5" t="n">
        <v>10</v>
      </c>
      <c r="AG20" s="8" t="n">
        <v>3</v>
      </c>
      <c r="AH20" s="8" t="n">
        <v>0</v>
      </c>
      <c r="AI20" s="8" t="n">
        <v>0</v>
      </c>
      <c r="AJ20" s="8" t="n">
        <v>0</v>
      </c>
      <c r="AM20" s="5" t="inlineStr">
        <is>
          <t>J</t>
        </is>
      </c>
      <c r="AN20" s="5" t="n">
        <v>10</v>
      </c>
      <c r="AO20" s="8" t="n">
        <v>3</v>
      </c>
      <c r="AP20" s="8" t="n">
        <v>0</v>
      </c>
      <c r="AQ20" s="8" t="n">
        <v>0</v>
      </c>
      <c r="AR20" s="8" t="n">
        <v>0</v>
      </c>
      <c r="AU20" s="5" t="inlineStr">
        <is>
          <t>J</t>
        </is>
      </c>
      <c r="AV20" s="5" t="n">
        <v>10</v>
      </c>
      <c r="AW20" s="8" t="n">
        <v>3</v>
      </c>
      <c r="AX20" s="8" t="n">
        <v>10</v>
      </c>
      <c r="AY20" s="8" t="n">
        <v>24.9</v>
      </c>
      <c r="AZ20" s="8" t="n">
        <v>380</v>
      </c>
    </row>
    <row r="21">
      <c r="A21" s="5" t="inlineStr">
        <is>
          <t>F</t>
        </is>
      </c>
      <c r="B21" s="5" t="n">
        <v>6</v>
      </c>
      <c r="C21" s="5" t="inlineStr">
        <is>
          <t>Berawa</t>
        </is>
      </c>
      <c r="D21" s="5" t="n">
        <v>500</v>
      </c>
      <c r="J21" s="5" t="inlineStr">
        <is>
          <t>M</t>
        </is>
      </c>
      <c r="K21" s="5" t="n">
        <v>13</v>
      </c>
      <c r="L21" s="8" t="n">
        <v>3</v>
      </c>
      <c r="M21" s="8">
        <f>IF($L$4=L21,K21,$M$8)</f>
        <v/>
      </c>
      <c r="N21" s="8">
        <f t="array" ref="N21">INDEX($B$45:$AA$70,M20+1,M21+1)</f>
        <v/>
      </c>
      <c r="O21" s="8">
        <f>IF(L21=$L$4,VLOOKUP(K21,$B$16:$D$40,3,FALSE),0)</f>
        <v/>
      </c>
      <c r="AC21" s="30" t="n"/>
      <c r="AE21" s="5" t="inlineStr">
        <is>
          <t>K</t>
        </is>
      </c>
      <c r="AF21" s="5" t="n">
        <v>11</v>
      </c>
      <c r="AG21" s="8" t="n">
        <v>3</v>
      </c>
      <c r="AH21" s="8" t="n">
        <v>0</v>
      </c>
      <c r="AI21" s="8" t="n">
        <v>0</v>
      </c>
      <c r="AJ21" s="8" t="n">
        <v>0</v>
      </c>
      <c r="AM21" s="5" t="inlineStr">
        <is>
          <t>K</t>
        </is>
      </c>
      <c r="AN21" s="5" t="n">
        <v>11</v>
      </c>
      <c r="AO21" s="8" t="n">
        <v>3</v>
      </c>
      <c r="AP21" s="8" t="n">
        <v>0</v>
      </c>
      <c r="AQ21" s="8" t="n">
        <v>0</v>
      </c>
      <c r="AR21" s="8" t="n">
        <v>0</v>
      </c>
      <c r="AU21" s="5" t="inlineStr">
        <is>
          <t>K</t>
        </is>
      </c>
      <c r="AV21" s="5" t="n">
        <v>11</v>
      </c>
      <c r="AW21" s="8" t="n">
        <v>3</v>
      </c>
      <c r="AX21" s="8" t="n">
        <v>11</v>
      </c>
      <c r="AY21" s="8" t="n">
        <v>6.7</v>
      </c>
      <c r="AZ21" s="8" t="n">
        <v>440</v>
      </c>
    </row>
    <row r="22">
      <c r="A22" s="5" t="inlineStr">
        <is>
          <t>G</t>
        </is>
      </c>
      <c r="B22" s="5" t="n">
        <v>7</v>
      </c>
      <c r="C22" s="5" t="inlineStr">
        <is>
          <t>Batu Bolong</t>
        </is>
      </c>
      <c r="D22" s="5" t="n">
        <v>480</v>
      </c>
      <c r="J22" s="5" t="inlineStr">
        <is>
          <t>N</t>
        </is>
      </c>
      <c r="K22" s="5" t="n">
        <v>14</v>
      </c>
      <c r="L22" s="8" t="n">
        <v>2</v>
      </c>
      <c r="M22" s="8">
        <f>IF($L$4=L22,K22,$M$8)</f>
        <v/>
      </c>
      <c r="N22" s="8">
        <f t="array" ref="N22">INDEX($B$45:$AA$70,M21+1,M22+1)</f>
        <v/>
      </c>
      <c r="O22" s="8">
        <f>IF(L22=$L$4,VLOOKUP(K22,$B$16:$D$40,3,FALSE),0)</f>
        <v/>
      </c>
      <c r="AC22" s="30" t="n"/>
      <c r="AE22" s="5" t="inlineStr">
        <is>
          <t>L</t>
        </is>
      </c>
      <c r="AF22" s="5" t="n">
        <v>12</v>
      </c>
      <c r="AG22" s="8" t="n">
        <v>3</v>
      </c>
      <c r="AH22" s="8" t="n">
        <v>0</v>
      </c>
      <c r="AI22" s="8" t="n">
        <v>0</v>
      </c>
      <c r="AJ22" s="8" t="n">
        <v>0</v>
      </c>
      <c r="AM22" s="5" t="inlineStr">
        <is>
          <t>L</t>
        </is>
      </c>
      <c r="AN22" s="5" t="n">
        <v>12</v>
      </c>
      <c r="AO22" s="8" t="n">
        <v>3</v>
      </c>
      <c r="AP22" s="8" t="n">
        <v>0</v>
      </c>
      <c r="AQ22" s="8" t="n">
        <v>0</v>
      </c>
      <c r="AR22" s="8" t="n">
        <v>0</v>
      </c>
      <c r="AU22" s="5" t="inlineStr">
        <is>
          <t>L</t>
        </is>
      </c>
      <c r="AV22" s="5" t="n">
        <v>12</v>
      </c>
      <c r="AW22" s="8" t="n">
        <v>3</v>
      </c>
      <c r="AX22" s="8" t="n">
        <v>12</v>
      </c>
      <c r="AY22" s="8" t="n">
        <v>1.2</v>
      </c>
      <c r="AZ22" s="8" t="n">
        <v>460</v>
      </c>
    </row>
    <row r="23">
      <c r="A23" s="5" t="inlineStr">
        <is>
          <t>H</t>
        </is>
      </c>
      <c r="B23" s="5" t="n">
        <v>8</v>
      </c>
      <c r="C23" s="5" t="inlineStr">
        <is>
          <t>Pererenan</t>
        </is>
      </c>
      <c r="D23" s="5" t="n">
        <v>300</v>
      </c>
      <c r="J23" s="5" t="inlineStr">
        <is>
          <t>O</t>
        </is>
      </c>
      <c r="K23" s="5" t="n">
        <v>15</v>
      </c>
      <c r="L23" s="8" t="n">
        <v>2</v>
      </c>
      <c r="M23" s="8">
        <f>IF($L$4=L23,K23,$M$8)</f>
        <v/>
      </c>
      <c r="N23" s="8">
        <f t="array" ref="N23">INDEX($B$45:$AA$70,M22+1,M23+1)</f>
        <v/>
      </c>
      <c r="O23" s="8">
        <f>IF(L23=$L$4,VLOOKUP(K23,$B$16:$D$40,3,FALSE),0)</f>
        <v/>
      </c>
      <c r="R23" s="48" t="inlineStr">
        <is>
          <t>RUTE TRUK 1</t>
        </is>
      </c>
      <c r="S23" s="47" t="n"/>
      <c r="T23" s="47" t="n"/>
      <c r="U23" s="47" t="n"/>
      <c r="AC23" s="30" t="n"/>
      <c r="AE23" s="5" t="inlineStr">
        <is>
          <t>M</t>
        </is>
      </c>
      <c r="AF23" s="5" t="n">
        <v>13</v>
      </c>
      <c r="AG23" s="8" t="n">
        <v>3</v>
      </c>
      <c r="AH23" s="8" t="n">
        <v>0</v>
      </c>
      <c r="AI23" s="8" t="n">
        <v>0</v>
      </c>
      <c r="AJ23" s="8" t="n">
        <v>0</v>
      </c>
      <c r="AM23" s="5" t="inlineStr">
        <is>
          <t>M</t>
        </is>
      </c>
      <c r="AN23" s="5" t="n">
        <v>13</v>
      </c>
      <c r="AO23" s="8" t="n">
        <v>3</v>
      </c>
      <c r="AP23" s="8" t="n">
        <v>0</v>
      </c>
      <c r="AQ23" s="8" t="n">
        <v>0</v>
      </c>
      <c r="AR23" s="8" t="n">
        <v>0</v>
      </c>
      <c r="AU23" s="5" t="inlineStr">
        <is>
          <t>M</t>
        </is>
      </c>
      <c r="AV23" s="5" t="n">
        <v>13</v>
      </c>
      <c r="AW23" s="8" t="n">
        <v>3</v>
      </c>
      <c r="AX23" s="8" t="n">
        <v>13</v>
      </c>
      <c r="AY23" s="8" t="n">
        <v>3.4</v>
      </c>
      <c r="AZ23" s="8" t="n">
        <v>600</v>
      </c>
    </row>
    <row r="24">
      <c r="A24" s="5" t="inlineStr">
        <is>
          <t>I</t>
        </is>
      </c>
      <c r="B24" s="5" t="n">
        <v>9</v>
      </c>
      <c r="C24" s="5" t="inlineStr">
        <is>
          <t>Kerobokan</t>
        </is>
      </c>
      <c r="D24" s="5" t="n">
        <v>420</v>
      </c>
      <c r="J24" s="5" t="inlineStr">
        <is>
          <t>P</t>
        </is>
      </c>
      <c r="K24" s="5" t="n">
        <v>16</v>
      </c>
      <c r="L24" s="8" t="n">
        <v>2</v>
      </c>
      <c r="M24" s="8">
        <f>IF($L$4=L24,K24,$M$8)</f>
        <v/>
      </c>
      <c r="N24" s="8">
        <f t="array" ref="N24">INDEX($B$45:$AA$70,M23+1,M24+1)</f>
        <v/>
      </c>
      <c r="O24" s="8">
        <f>IF(L24=$L$4,VLOOKUP(K24,$B$16:$D$40,3,FALSE),0)</f>
        <v/>
      </c>
      <c r="R24" s="47" t="inlineStr">
        <is>
          <t>GUDANG - D - E - F - G - H - I - U - V - W - X - Y - GUDANG</t>
        </is>
      </c>
      <c r="S24" s="47" t="n"/>
      <c r="T24" s="47" t="n"/>
      <c r="U24" s="47" t="n"/>
      <c r="AC24" s="30" t="n"/>
      <c r="AE24" s="5" t="inlineStr">
        <is>
          <t>N</t>
        </is>
      </c>
      <c r="AF24" s="5" t="n">
        <v>14</v>
      </c>
      <c r="AG24" s="8" t="n">
        <v>2</v>
      </c>
      <c r="AH24" s="8" t="n">
        <v>0</v>
      </c>
      <c r="AI24" s="8" t="n">
        <v>0</v>
      </c>
      <c r="AJ24" s="8" t="n">
        <v>0</v>
      </c>
      <c r="AM24" s="5" t="inlineStr">
        <is>
          <t>N</t>
        </is>
      </c>
      <c r="AN24" s="5" t="n">
        <v>14</v>
      </c>
      <c r="AO24" s="8" t="n">
        <v>2</v>
      </c>
      <c r="AP24" s="8" t="n">
        <v>14</v>
      </c>
      <c r="AQ24" s="8" t="n">
        <v>28.3</v>
      </c>
      <c r="AR24" s="8" t="n">
        <v>550</v>
      </c>
      <c r="AU24" s="5" t="inlineStr">
        <is>
          <t>N</t>
        </is>
      </c>
      <c r="AV24" s="5" t="n">
        <v>14</v>
      </c>
      <c r="AW24" s="8" t="n">
        <v>2</v>
      </c>
      <c r="AX24" s="8" t="n">
        <v>0</v>
      </c>
      <c r="AY24" s="8" t="n">
        <v>0</v>
      </c>
      <c r="AZ24" s="8" t="n">
        <v>0</v>
      </c>
    </row>
    <row r="25">
      <c r="A25" s="5" t="inlineStr">
        <is>
          <t>J</t>
        </is>
      </c>
      <c r="B25" s="5" t="n">
        <v>10</v>
      </c>
      <c r="C25" s="5" t="inlineStr">
        <is>
          <t>Umalas</t>
        </is>
      </c>
      <c r="D25" s="5" t="n">
        <v>380</v>
      </c>
      <c r="J25" s="5" t="inlineStr">
        <is>
          <t>Q</t>
        </is>
      </c>
      <c r="K25" s="5" t="n">
        <v>17</v>
      </c>
      <c r="L25" s="8" t="n">
        <v>2</v>
      </c>
      <c r="M25" s="8">
        <f>IF($L$4=L25,K25,$M$8)</f>
        <v/>
      </c>
      <c r="N25" s="8">
        <f t="array" ref="N25">INDEX($B$45:$AA$70,M24+1,M25+1)</f>
        <v/>
      </c>
      <c r="O25" s="8">
        <f>IF(L25=$L$4,VLOOKUP(K25,$B$16:$D$40,3,FALSE),0)</f>
        <v/>
      </c>
      <c r="R25" s="47" t="n"/>
      <c r="S25" s="47" t="n"/>
      <c r="T25" s="47" t="n"/>
      <c r="U25" s="47" t="n"/>
      <c r="AC25" s="30" t="n"/>
      <c r="AE25" s="5" t="inlineStr">
        <is>
          <t>O</t>
        </is>
      </c>
      <c r="AF25" s="5" t="n">
        <v>15</v>
      </c>
      <c r="AG25" s="8" t="n">
        <v>2</v>
      </c>
      <c r="AH25" s="8" t="n">
        <v>0</v>
      </c>
      <c r="AI25" s="8" t="n">
        <v>0</v>
      </c>
      <c r="AJ25" s="8" t="n">
        <v>0</v>
      </c>
      <c r="AM25" s="5" t="inlineStr">
        <is>
          <t>O</t>
        </is>
      </c>
      <c r="AN25" s="5" t="n">
        <v>15</v>
      </c>
      <c r="AO25" s="8" t="n">
        <v>2</v>
      </c>
      <c r="AP25" s="8" t="n">
        <v>15</v>
      </c>
      <c r="AQ25" s="8" t="n">
        <v>2.9</v>
      </c>
      <c r="AR25" s="8" t="n">
        <v>580</v>
      </c>
      <c r="AU25" s="5" t="inlineStr">
        <is>
          <t>O</t>
        </is>
      </c>
      <c r="AV25" s="5" t="n">
        <v>15</v>
      </c>
      <c r="AW25" s="8" t="n">
        <v>2</v>
      </c>
      <c r="AX25" s="8" t="n">
        <v>0</v>
      </c>
      <c r="AY25" s="8" t="n">
        <v>0</v>
      </c>
      <c r="AZ25" s="8" t="n">
        <v>0</v>
      </c>
    </row>
    <row r="26">
      <c r="A26" s="5" t="inlineStr">
        <is>
          <t>K</t>
        </is>
      </c>
      <c r="B26" s="5" t="n">
        <v>11</v>
      </c>
      <c r="C26" s="5" t="inlineStr">
        <is>
          <t>Nakula</t>
        </is>
      </c>
      <c r="D26" s="5" t="n">
        <v>440</v>
      </c>
      <c r="J26" s="5" t="inlineStr">
        <is>
          <t>R</t>
        </is>
      </c>
      <c r="K26" s="5" t="n">
        <v>18</v>
      </c>
      <c r="L26" s="8" t="n">
        <v>2</v>
      </c>
      <c r="M26" s="8">
        <f>IF($L$4=L26,K26,$M$8)</f>
        <v/>
      </c>
      <c r="N26" s="8">
        <f t="array" ref="N26">INDEX($B$45:$AA$70,M25+1,M26+1)</f>
        <v/>
      </c>
      <c r="O26" s="8">
        <f>IF(L26=$L$4,VLOOKUP(K26,$B$16:$D$40,3,FALSE),0)</f>
        <v/>
      </c>
      <c r="R26" s="48" t="inlineStr">
        <is>
          <t>RUTE TRUK 2</t>
        </is>
      </c>
      <c r="S26" s="47" t="n"/>
      <c r="T26" s="47" t="n"/>
      <c r="U26" s="47" t="n"/>
      <c r="AC26" s="30" t="n"/>
      <c r="AE26" s="5" t="inlineStr">
        <is>
          <t>P</t>
        </is>
      </c>
      <c r="AF26" s="5" t="n">
        <v>16</v>
      </c>
      <c r="AG26" s="8" t="n">
        <v>2</v>
      </c>
      <c r="AH26" s="8" t="n">
        <v>0</v>
      </c>
      <c r="AI26" s="8" t="n">
        <v>0</v>
      </c>
      <c r="AJ26" s="8" t="n">
        <v>0</v>
      </c>
      <c r="AM26" s="5" t="inlineStr">
        <is>
          <t>P</t>
        </is>
      </c>
      <c r="AN26" s="5" t="n">
        <v>16</v>
      </c>
      <c r="AO26" s="8" t="n">
        <v>2</v>
      </c>
      <c r="AP26" s="8" t="n">
        <v>16</v>
      </c>
      <c r="AQ26" s="8" t="n">
        <v>9.699999999999999</v>
      </c>
      <c r="AR26" s="8" t="n">
        <v>360</v>
      </c>
      <c r="AU26" s="5" t="inlineStr">
        <is>
          <t>P</t>
        </is>
      </c>
      <c r="AV26" s="5" t="n">
        <v>16</v>
      </c>
      <c r="AW26" s="8" t="n">
        <v>2</v>
      </c>
      <c r="AX26" s="8" t="n">
        <v>0</v>
      </c>
      <c r="AY26" s="8" t="n">
        <v>0</v>
      </c>
      <c r="AZ26" s="8" t="n">
        <v>0</v>
      </c>
    </row>
    <row r="27">
      <c r="A27" s="5" t="inlineStr">
        <is>
          <t>L</t>
        </is>
      </c>
      <c r="B27" s="5" t="n">
        <v>12</v>
      </c>
      <c r="C27" s="5" t="inlineStr">
        <is>
          <t>Dewi Sri</t>
        </is>
      </c>
      <c r="D27" s="5" t="n">
        <v>460</v>
      </c>
      <c r="J27" s="5" t="inlineStr">
        <is>
          <t>S</t>
        </is>
      </c>
      <c r="K27" s="5" t="n">
        <v>19</v>
      </c>
      <c r="L27" s="8" t="n">
        <v>2</v>
      </c>
      <c r="M27" s="8">
        <f>IF($L$4=L27,K27,$M$8)</f>
        <v/>
      </c>
      <c r="N27" s="8">
        <f t="array" ref="N27">INDEX($B$45:$AA$70,M26+1,M27+1)</f>
        <v/>
      </c>
      <c r="O27" s="8">
        <f>IF(L27=$L$4,VLOOKUP(K27,$B$16:$D$40,3,FALSE),0)</f>
        <v/>
      </c>
      <c r="R27" s="47" t="inlineStr">
        <is>
          <t>GUDANG - A - B - C - N - O - P - Q - R - S - T - GUDANG</t>
        </is>
      </c>
      <c r="S27" s="47" t="n"/>
      <c r="T27" s="47" t="n"/>
      <c r="U27" s="47" t="n"/>
      <c r="AC27" s="30" t="n"/>
      <c r="AE27" s="5" t="inlineStr">
        <is>
          <t>Q</t>
        </is>
      </c>
      <c r="AF27" s="5" t="n">
        <v>17</v>
      </c>
      <c r="AG27" s="8" t="n">
        <v>2</v>
      </c>
      <c r="AH27" s="8" t="n">
        <v>0</v>
      </c>
      <c r="AI27" s="8" t="n">
        <v>0</v>
      </c>
      <c r="AJ27" s="8" t="n">
        <v>0</v>
      </c>
      <c r="AM27" s="5" t="inlineStr">
        <is>
          <t>Q</t>
        </is>
      </c>
      <c r="AN27" s="5" t="n">
        <v>17</v>
      </c>
      <c r="AO27" s="8" t="n">
        <v>2</v>
      </c>
      <c r="AP27" s="8" t="n">
        <v>17</v>
      </c>
      <c r="AQ27" s="8" t="n">
        <v>6</v>
      </c>
      <c r="AR27" s="8" t="n">
        <v>340</v>
      </c>
      <c r="AU27" s="5" t="inlineStr">
        <is>
          <t>Q</t>
        </is>
      </c>
      <c r="AV27" s="5" t="n">
        <v>17</v>
      </c>
      <c r="AW27" s="8" t="n">
        <v>2</v>
      </c>
      <c r="AX27" s="8" t="n">
        <v>0</v>
      </c>
      <c r="AY27" s="8" t="n">
        <v>0</v>
      </c>
      <c r="AZ27" s="8" t="n">
        <v>0</v>
      </c>
    </row>
    <row r="28">
      <c r="A28" s="5" t="inlineStr">
        <is>
          <t>M</t>
        </is>
      </c>
      <c r="B28" s="5" t="n">
        <v>13</v>
      </c>
      <c r="C28" s="5" t="inlineStr">
        <is>
          <t>Kuta</t>
        </is>
      </c>
      <c r="D28" s="5" t="n">
        <v>600</v>
      </c>
      <c r="J28" s="5" t="inlineStr">
        <is>
          <t>T</t>
        </is>
      </c>
      <c r="K28" s="5" t="n">
        <v>20</v>
      </c>
      <c r="L28" s="8" t="n">
        <v>2</v>
      </c>
      <c r="M28" s="8">
        <f>IF($L$4=L28,K28,$M$8)</f>
        <v/>
      </c>
      <c r="N28" s="8">
        <f t="array" ref="N28">INDEX($B$45:$AA$70,M27+1,M28+1)</f>
        <v/>
      </c>
      <c r="O28" s="8">
        <f>IF(L28=$L$4,VLOOKUP(K28,$B$16:$D$40,3,FALSE),0)</f>
        <v/>
      </c>
      <c r="R28" s="47" t="n"/>
      <c r="S28" s="47" t="n"/>
      <c r="T28" s="47" t="n"/>
      <c r="U28" s="47" t="n"/>
      <c r="AC28" s="30" t="n"/>
      <c r="AE28" s="5" t="inlineStr">
        <is>
          <t>R</t>
        </is>
      </c>
      <c r="AF28" s="5" t="n">
        <v>18</v>
      </c>
      <c r="AG28" s="8" t="n">
        <v>2</v>
      </c>
      <c r="AH28" s="8" t="n">
        <v>0</v>
      </c>
      <c r="AI28" s="8" t="n">
        <v>0</v>
      </c>
      <c r="AJ28" s="8" t="n">
        <v>0</v>
      </c>
      <c r="AM28" s="5" t="inlineStr">
        <is>
          <t>R</t>
        </is>
      </c>
      <c r="AN28" s="5" t="n">
        <v>18</v>
      </c>
      <c r="AO28" s="8" t="n">
        <v>2</v>
      </c>
      <c r="AP28" s="8" t="n">
        <v>18</v>
      </c>
      <c r="AQ28" s="8" t="n">
        <v>5.2</v>
      </c>
      <c r="AR28" s="8" t="n">
        <v>330</v>
      </c>
      <c r="AU28" s="5" t="inlineStr">
        <is>
          <t>R</t>
        </is>
      </c>
      <c r="AV28" s="5" t="n">
        <v>18</v>
      </c>
      <c r="AW28" s="8" t="n">
        <v>2</v>
      </c>
      <c r="AX28" s="8" t="n">
        <v>0</v>
      </c>
      <c r="AY28" s="8" t="n">
        <v>0</v>
      </c>
      <c r="AZ28" s="8" t="n">
        <v>0</v>
      </c>
    </row>
    <row r="29">
      <c r="A29" s="5" t="inlineStr">
        <is>
          <t>N</t>
        </is>
      </c>
      <c r="B29" s="5" t="n">
        <v>14</v>
      </c>
      <c r="C29" s="5" t="inlineStr">
        <is>
          <t>Sunset Road</t>
        </is>
      </c>
      <c r="D29" s="5" t="n">
        <v>550</v>
      </c>
      <c r="J29" s="5" t="inlineStr">
        <is>
          <t>U</t>
        </is>
      </c>
      <c r="K29" s="5" t="n">
        <v>21</v>
      </c>
      <c r="L29" s="8" t="n">
        <v>1</v>
      </c>
      <c r="M29" s="8">
        <f>IF($L$4=L29,K29,$M$8)</f>
        <v/>
      </c>
      <c r="N29" s="8">
        <f t="array" ref="N29">INDEX($B$45:$AA$70,M28+1,M29+1)</f>
        <v/>
      </c>
      <c r="O29" s="8">
        <f>IF(L29=$L$4,VLOOKUP(K29,$B$16:$D$40,3,FALSE),0)</f>
        <v/>
      </c>
      <c r="R29" s="48" t="inlineStr">
        <is>
          <t>RUTE TRUK 3</t>
        </is>
      </c>
      <c r="S29" s="47" t="n"/>
      <c r="T29" s="47" t="n"/>
      <c r="U29" s="47" t="n"/>
      <c r="AC29" s="30" t="n"/>
      <c r="AE29" s="5" t="inlineStr">
        <is>
          <t>S</t>
        </is>
      </c>
      <c r="AF29" s="5" t="n">
        <v>19</v>
      </c>
      <c r="AG29" s="8" t="n">
        <v>2</v>
      </c>
      <c r="AH29" s="8" t="n">
        <v>0</v>
      </c>
      <c r="AI29" s="8" t="n">
        <v>0</v>
      </c>
      <c r="AJ29" s="8" t="n">
        <v>0</v>
      </c>
      <c r="AM29" s="5" t="inlineStr">
        <is>
          <t>S</t>
        </is>
      </c>
      <c r="AN29" s="5" t="n">
        <v>19</v>
      </c>
      <c r="AO29" s="8" t="n">
        <v>2</v>
      </c>
      <c r="AP29" s="8" t="n">
        <v>19</v>
      </c>
      <c r="AQ29" s="8" t="n">
        <v>17.2</v>
      </c>
      <c r="AR29" s="8" t="n">
        <v>290</v>
      </c>
      <c r="AU29" s="5" t="inlineStr">
        <is>
          <t>S</t>
        </is>
      </c>
      <c r="AV29" s="5" t="n">
        <v>19</v>
      </c>
      <c r="AW29" s="8" t="n">
        <v>2</v>
      </c>
      <c r="AX29" s="8" t="n">
        <v>0</v>
      </c>
      <c r="AY29" s="8" t="n">
        <v>0</v>
      </c>
      <c r="AZ29" s="8" t="n">
        <v>0</v>
      </c>
    </row>
    <row r="30">
      <c r="A30" s="5" t="inlineStr">
        <is>
          <t>O</t>
        </is>
      </c>
      <c r="B30" s="5" t="n">
        <v>15</v>
      </c>
      <c r="C30" s="5" t="inlineStr">
        <is>
          <t>Seminyak</t>
        </is>
      </c>
      <c r="D30" s="5" t="n">
        <v>580</v>
      </c>
      <c r="J30" s="5" t="inlineStr">
        <is>
          <t>V</t>
        </is>
      </c>
      <c r="K30" s="5" t="n">
        <v>22</v>
      </c>
      <c r="L30" s="8" t="n">
        <v>1</v>
      </c>
      <c r="M30" s="8">
        <f>IF($L$4=L30,K30,$M$8)</f>
        <v/>
      </c>
      <c r="N30" s="8">
        <f t="array" ref="N30">INDEX($B$45:$AA$70,M29+1,M30+1)</f>
        <v/>
      </c>
      <c r="O30" s="8">
        <f>IF(L30=$L$4,VLOOKUP(K30,$B$16:$D$40,3,FALSE),0)</f>
        <v/>
      </c>
      <c r="R30" s="47" t="inlineStr">
        <is>
          <t>GUDANG - J - K - L - M - GUDANG</t>
        </is>
      </c>
      <c r="S30" s="47" t="n"/>
      <c r="T30" s="47" t="n"/>
      <c r="U30" s="47" t="n"/>
      <c r="AC30" s="30" t="n"/>
      <c r="AE30" s="5" t="inlineStr">
        <is>
          <t>T</t>
        </is>
      </c>
      <c r="AF30" s="5" t="n">
        <v>20</v>
      </c>
      <c r="AG30" s="8" t="n">
        <v>2</v>
      </c>
      <c r="AH30" s="8" t="n">
        <v>0</v>
      </c>
      <c r="AI30" s="8" t="n">
        <v>0</v>
      </c>
      <c r="AJ30" s="8" t="n">
        <v>0</v>
      </c>
      <c r="AM30" s="5" t="inlineStr">
        <is>
          <t>T</t>
        </is>
      </c>
      <c r="AN30" s="5" t="n">
        <v>20</v>
      </c>
      <c r="AO30" s="8" t="n">
        <v>2</v>
      </c>
      <c r="AP30" s="8" t="n">
        <v>20</v>
      </c>
      <c r="AQ30" s="8" t="n">
        <v>9.5</v>
      </c>
      <c r="AR30" s="8" t="n">
        <v>270</v>
      </c>
      <c r="AU30" s="5" t="inlineStr">
        <is>
          <t>T</t>
        </is>
      </c>
      <c r="AV30" s="5" t="n">
        <v>20</v>
      </c>
      <c r="AW30" s="8" t="n">
        <v>2</v>
      </c>
      <c r="AX30" s="8" t="n">
        <v>0</v>
      </c>
      <c r="AY30" s="8" t="n">
        <v>0</v>
      </c>
      <c r="AZ30" s="8" t="n">
        <v>0</v>
      </c>
    </row>
    <row r="31">
      <c r="A31" s="5" t="inlineStr">
        <is>
          <t>P</t>
        </is>
      </c>
      <c r="B31" s="5" t="n">
        <v>16</v>
      </c>
      <c r="C31" s="5" t="inlineStr">
        <is>
          <t>Jimbaran</t>
        </is>
      </c>
      <c r="D31" s="5" t="n">
        <v>360</v>
      </c>
      <c r="J31" s="5" t="inlineStr">
        <is>
          <t>W</t>
        </is>
      </c>
      <c r="K31" s="5" t="n">
        <v>23</v>
      </c>
      <c r="L31" s="8" t="n">
        <v>1</v>
      </c>
      <c r="M31" s="8">
        <f>IF($L$4=L31,K31,$M$8)</f>
        <v/>
      </c>
      <c r="N31" s="8">
        <f t="array" ref="N31">INDEX($B$45:$AA$70,M30+1,M31+1)</f>
        <v/>
      </c>
      <c r="O31" s="8">
        <f>IF(L31=$L$4,VLOOKUP(K31,$B$16:$D$40,3,FALSE),0)</f>
        <v/>
      </c>
      <c r="R31" s="47" t="n"/>
      <c r="S31" s="47" t="n"/>
      <c r="T31" s="47" t="n"/>
      <c r="U31" s="47" t="n"/>
      <c r="AC31" s="30" t="n"/>
      <c r="AE31" s="5" t="inlineStr">
        <is>
          <t>U</t>
        </is>
      </c>
      <c r="AF31" s="5" t="n">
        <v>21</v>
      </c>
      <c r="AG31" s="8" t="n">
        <v>1</v>
      </c>
      <c r="AH31" s="8" t="n">
        <v>21</v>
      </c>
      <c r="AI31" s="8" t="n">
        <v>25.1</v>
      </c>
      <c r="AJ31" s="8" t="n">
        <v>520</v>
      </c>
      <c r="AM31" s="5" t="inlineStr">
        <is>
          <t>U</t>
        </is>
      </c>
      <c r="AN31" s="5" t="n">
        <v>21</v>
      </c>
      <c r="AO31" s="8" t="n">
        <v>1</v>
      </c>
      <c r="AP31" s="8" t="n">
        <v>0</v>
      </c>
      <c r="AQ31" s="8" t="n">
        <v>0</v>
      </c>
      <c r="AR31" s="8" t="n">
        <v>0</v>
      </c>
      <c r="AU31" s="5" t="inlineStr">
        <is>
          <t>U</t>
        </is>
      </c>
      <c r="AV31" s="5" t="n">
        <v>21</v>
      </c>
      <c r="AW31" s="8" t="n">
        <v>1</v>
      </c>
      <c r="AX31" s="8" t="n">
        <v>0</v>
      </c>
      <c r="AY31" s="8" t="n">
        <v>0</v>
      </c>
      <c r="AZ31" s="8" t="n">
        <v>0</v>
      </c>
    </row>
    <row r="32">
      <c r="A32" s="5" t="inlineStr">
        <is>
          <t>Q</t>
        </is>
      </c>
      <c r="B32" s="5" t="n">
        <v>17</v>
      </c>
      <c r="C32" s="5" t="inlineStr">
        <is>
          <t>Nusa Dua</t>
        </is>
      </c>
      <c r="D32" s="5" t="n">
        <v>340</v>
      </c>
      <c r="J32" s="5" t="inlineStr">
        <is>
          <t>X</t>
        </is>
      </c>
      <c r="K32" s="5" t="n">
        <v>24</v>
      </c>
      <c r="L32" s="8" t="n">
        <v>1</v>
      </c>
      <c r="M32" s="8">
        <f>IF($L$4=L32,K32,$M$8)</f>
        <v/>
      </c>
      <c r="N32" s="8">
        <f t="array" ref="N32">INDEX($B$45:$AA$70,M31+1,M32+1)</f>
        <v/>
      </c>
      <c r="O32" s="8">
        <f>IF(L32=$L$4,VLOOKUP(K32,$B$16:$D$40,3,FALSE),0)</f>
        <v/>
      </c>
      <c r="AC32" s="30" t="n"/>
      <c r="AE32" s="5" t="inlineStr">
        <is>
          <t>V</t>
        </is>
      </c>
      <c r="AF32" s="5" t="n">
        <v>22</v>
      </c>
      <c r="AG32" s="8" t="n">
        <v>1</v>
      </c>
      <c r="AH32" s="8" t="n">
        <v>22</v>
      </c>
      <c r="AI32" s="8" t="n">
        <v>8</v>
      </c>
      <c r="AJ32" s="8" t="n">
        <v>500</v>
      </c>
      <c r="AM32" s="5" t="inlineStr">
        <is>
          <t>V</t>
        </is>
      </c>
      <c r="AN32" s="5" t="n">
        <v>22</v>
      </c>
      <c r="AO32" s="8" t="n">
        <v>1</v>
      </c>
      <c r="AP32" s="8" t="n">
        <v>0</v>
      </c>
      <c r="AQ32" s="8" t="n">
        <v>0</v>
      </c>
      <c r="AR32" s="8" t="n">
        <v>0</v>
      </c>
      <c r="AU32" s="5" t="inlineStr">
        <is>
          <t>V</t>
        </is>
      </c>
      <c r="AV32" s="5" t="n">
        <v>22</v>
      </c>
      <c r="AW32" s="8" t="n">
        <v>1</v>
      </c>
      <c r="AX32" s="8" t="n">
        <v>0</v>
      </c>
      <c r="AY32" s="8" t="n">
        <v>0</v>
      </c>
      <c r="AZ32" s="8" t="n">
        <v>0</v>
      </c>
    </row>
    <row r="33">
      <c r="A33" s="5" t="inlineStr">
        <is>
          <t>R</t>
        </is>
      </c>
      <c r="B33" s="5" t="n">
        <v>18</v>
      </c>
      <c r="C33" s="5" t="inlineStr">
        <is>
          <t>Benoa</t>
        </is>
      </c>
      <c r="D33" s="5" t="n">
        <v>330</v>
      </c>
      <c r="J33" s="5" t="inlineStr">
        <is>
          <t>Y</t>
        </is>
      </c>
      <c r="K33" s="5" t="n">
        <v>25</v>
      </c>
      <c r="L33" s="8" t="n">
        <v>1</v>
      </c>
      <c r="M33" s="8">
        <f>IF($L$4=L33,K33,$M$8)</f>
        <v/>
      </c>
      <c r="N33" s="8">
        <f t="array" ref="N33">INDEX($B$45:$AA$70,M32+1,M33+1)</f>
        <v/>
      </c>
      <c r="O33" s="8">
        <f>IF(L33=$L$4,VLOOKUP(K33,$B$16:$D$40,3,FALSE),0)</f>
        <v/>
      </c>
      <c r="AC33" s="30" t="n"/>
      <c r="AE33" s="5" t="inlineStr">
        <is>
          <t>W</t>
        </is>
      </c>
      <c r="AF33" s="5" t="n">
        <v>23</v>
      </c>
      <c r="AG33" s="8" t="n">
        <v>1</v>
      </c>
      <c r="AH33" s="8" t="n">
        <v>23</v>
      </c>
      <c r="AI33" s="8" t="n">
        <v>14.4</v>
      </c>
      <c r="AJ33" s="8" t="n">
        <v>470</v>
      </c>
      <c r="AM33" s="5" t="inlineStr">
        <is>
          <t>W</t>
        </is>
      </c>
      <c r="AN33" s="5" t="n">
        <v>23</v>
      </c>
      <c r="AO33" s="8" t="n">
        <v>1</v>
      </c>
      <c r="AP33" s="8" t="n">
        <v>0</v>
      </c>
      <c r="AQ33" s="8" t="n">
        <v>0</v>
      </c>
      <c r="AR33" s="8" t="n">
        <v>0</v>
      </c>
      <c r="AU33" s="5" t="inlineStr">
        <is>
          <t>W</t>
        </is>
      </c>
      <c r="AV33" s="5" t="n">
        <v>23</v>
      </c>
      <c r="AW33" s="8" t="n">
        <v>1</v>
      </c>
      <c r="AX33" s="8" t="n">
        <v>0</v>
      </c>
      <c r="AY33" s="8" t="n">
        <v>0</v>
      </c>
      <c r="AZ33" s="8" t="n">
        <v>0</v>
      </c>
    </row>
    <row r="34" ht="29" customHeight="1">
      <c r="A34" s="5" t="inlineStr">
        <is>
          <t>S</t>
        </is>
      </c>
      <c r="B34" s="5" t="n">
        <v>19</v>
      </c>
      <c r="C34" s="5" t="inlineStr">
        <is>
          <t>Ungasan</t>
        </is>
      </c>
      <c r="D34" s="5" t="n">
        <v>290</v>
      </c>
      <c r="K34" s="86" t="inlineStr">
        <is>
          <t>DISTANCE</t>
        </is>
      </c>
      <c r="L34" s="136" t="n"/>
      <c r="M34" s="137" t="n"/>
      <c r="N34" s="8">
        <f>SUM(N9:N33)</f>
        <v/>
      </c>
      <c r="O34" s="8">
        <f>SUM(O9:O33)</f>
        <v/>
      </c>
      <c r="AC34" s="30" t="n"/>
      <c r="AE34" s="8" t="inlineStr">
        <is>
          <t>X</t>
        </is>
      </c>
      <c r="AF34" s="5" t="n">
        <v>24</v>
      </c>
      <c r="AG34" s="5" t="n">
        <v>1</v>
      </c>
      <c r="AH34" s="5" t="n">
        <v>24</v>
      </c>
      <c r="AI34" s="8" t="n">
        <v>3.3</v>
      </c>
      <c r="AJ34" s="8" t="n">
        <v>490</v>
      </c>
      <c r="AM34" s="8" t="inlineStr">
        <is>
          <t>X</t>
        </is>
      </c>
      <c r="AN34" s="5" t="n">
        <v>24</v>
      </c>
      <c r="AO34" s="5" t="n">
        <v>1</v>
      </c>
      <c r="AP34" s="5" t="n">
        <v>0</v>
      </c>
      <c r="AQ34" s="8" t="n">
        <v>0</v>
      </c>
      <c r="AR34" s="8" t="n">
        <v>0</v>
      </c>
      <c r="AU34" s="5" t="inlineStr">
        <is>
          <t>X</t>
        </is>
      </c>
      <c r="AV34" s="5" t="n">
        <v>24</v>
      </c>
      <c r="AW34" s="8" t="n">
        <v>1</v>
      </c>
      <c r="AX34" s="8" t="n">
        <v>0</v>
      </c>
      <c r="AY34" s="8" t="n">
        <v>0</v>
      </c>
      <c r="AZ34" s="8" t="n">
        <v>0</v>
      </c>
    </row>
    <row r="35">
      <c r="A35" s="5" t="inlineStr">
        <is>
          <t>T</t>
        </is>
      </c>
      <c r="B35" s="5" t="n">
        <v>20</v>
      </c>
      <c r="C35" s="5" t="inlineStr">
        <is>
          <t>Pecatu</t>
        </is>
      </c>
      <c r="D35" s="5" t="n">
        <v>270</v>
      </c>
      <c r="AC35" s="30" t="n"/>
      <c r="AE35" s="8" t="inlineStr">
        <is>
          <t>Y</t>
        </is>
      </c>
      <c r="AF35" s="8" t="n">
        <v>25</v>
      </c>
      <c r="AG35" s="8" t="n">
        <v>1</v>
      </c>
      <c r="AH35" s="8" t="n">
        <v>25</v>
      </c>
      <c r="AI35" s="8" t="n">
        <v>5.5</v>
      </c>
      <c r="AJ35" s="8" t="n">
        <v>410</v>
      </c>
      <c r="AM35" s="8" t="inlineStr">
        <is>
          <t>Y</t>
        </is>
      </c>
      <c r="AN35" s="8" t="n">
        <v>25</v>
      </c>
      <c r="AO35" s="8" t="n">
        <v>1</v>
      </c>
      <c r="AP35" s="8" t="n">
        <v>0</v>
      </c>
      <c r="AQ35" s="8" t="n">
        <v>0</v>
      </c>
      <c r="AR35" s="8" t="n">
        <v>0</v>
      </c>
      <c r="AU35" s="5" t="inlineStr">
        <is>
          <t>Y</t>
        </is>
      </c>
      <c r="AV35" s="5" t="n">
        <v>25</v>
      </c>
      <c r="AW35" s="8" t="n">
        <v>1</v>
      </c>
      <c r="AX35" s="8" t="n">
        <v>0</v>
      </c>
      <c r="AY35" s="8" t="n">
        <v>0</v>
      </c>
      <c r="AZ35" s="8" t="n">
        <v>0</v>
      </c>
    </row>
    <row r="36">
      <c r="A36" s="5" t="inlineStr">
        <is>
          <t>U</t>
        </is>
      </c>
      <c r="B36" s="5" t="n">
        <v>21</v>
      </c>
      <c r="C36" s="5" t="inlineStr">
        <is>
          <t>Teuku Umar</t>
        </is>
      </c>
      <c r="D36" s="5" t="n">
        <v>520</v>
      </c>
      <c r="AC36" s="30" t="n"/>
      <c r="AE36" s="8" t="n"/>
      <c r="AF36" s="8" t="inlineStr">
        <is>
          <t>DISTANCE</t>
        </is>
      </c>
      <c r="AG36" s="8" t="n"/>
      <c r="AH36" s="8" t="n"/>
      <c r="AI36" s="8">
        <f>SUM(AI11:AI35)</f>
        <v/>
      </c>
      <c r="AJ36" s="8">
        <f>SUM(AJ11:AJ35)</f>
        <v/>
      </c>
      <c r="AM36" s="8" t="n"/>
      <c r="AN36" s="8" t="inlineStr">
        <is>
          <t>DISTANCE</t>
        </is>
      </c>
      <c r="AO36" s="8" t="n"/>
      <c r="AP36" s="8" t="n"/>
      <c r="AQ36" s="8">
        <f>SUM(AQ11:AQ35)</f>
        <v/>
      </c>
      <c r="AR36" s="8">
        <f>SUM(AR11:AR35)</f>
        <v/>
      </c>
      <c r="AV36" s="86" t="inlineStr">
        <is>
          <t>DISTANCE</t>
        </is>
      </c>
      <c r="AW36" s="136" t="n"/>
      <c r="AX36" s="137" t="n"/>
      <c r="AY36" s="8" t="n">
        <v>67.09999999999999</v>
      </c>
      <c r="AZ36" s="8" t="n">
        <v>1880</v>
      </c>
    </row>
    <row r="37">
      <c r="A37" s="5" t="inlineStr">
        <is>
          <t>V</t>
        </is>
      </c>
      <c r="B37" s="5" t="n">
        <v>22</v>
      </c>
      <c r="C37" s="5" t="inlineStr">
        <is>
          <t>Gatsu</t>
        </is>
      </c>
      <c r="D37" s="5" t="n">
        <v>500</v>
      </c>
      <c r="AC37" s="30" t="n"/>
    </row>
    <row r="38">
      <c r="A38" s="5" t="inlineStr">
        <is>
          <t>W</t>
        </is>
      </c>
      <c r="B38" s="5" t="n">
        <v>23</v>
      </c>
      <c r="C38" s="5" t="inlineStr">
        <is>
          <t>Sanur</t>
        </is>
      </c>
      <c r="D38" s="5" t="n">
        <v>470</v>
      </c>
      <c r="AC38" s="30" t="n"/>
    </row>
    <row r="39">
      <c r="A39" s="5" t="inlineStr">
        <is>
          <t>X</t>
        </is>
      </c>
      <c r="B39" s="5" t="n">
        <v>24</v>
      </c>
      <c r="C39" s="5" t="inlineStr">
        <is>
          <t>Renon</t>
        </is>
      </c>
      <c r="D39" s="5" t="n">
        <v>490</v>
      </c>
      <c r="AC39" s="30" t="n"/>
    </row>
    <row r="40">
      <c r="A40" s="5" t="inlineStr">
        <is>
          <t>Y</t>
        </is>
      </c>
      <c r="B40" s="5" t="n">
        <v>25</v>
      </c>
      <c r="C40" s="5" t="inlineStr">
        <is>
          <t>Sesetan</t>
        </is>
      </c>
      <c r="D40" s="5" t="n">
        <v>410</v>
      </c>
      <c r="AC40" s="30" t="n"/>
    </row>
    <row r="41">
      <c r="AC41" s="30" t="n"/>
      <c r="AE41" t="inlineStr">
        <is>
          <t>DISTANCE</t>
        </is>
      </c>
      <c r="AF41">
        <f>SUM(AF42:AF44)</f>
        <v/>
      </c>
      <c r="AH41" t="inlineStr">
        <is>
          <t>LOAD</t>
        </is>
      </c>
      <c r="AI41">
        <f>SUM(AI42:AI44)</f>
        <v/>
      </c>
    </row>
    <row r="42">
      <c r="AC42" s="30" t="n"/>
      <c r="AE42" t="n">
        <v>1</v>
      </c>
      <c r="AF42">
        <f>AI36</f>
        <v/>
      </c>
      <c r="AH42" t="n">
        <v>1</v>
      </c>
      <c r="AI42">
        <f>AJ36</f>
        <v/>
      </c>
    </row>
    <row r="43">
      <c r="A43" s="122" t="inlineStr">
        <is>
          <t>TABEL OD MATRIX JARAK (KM)</t>
        </is>
      </c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7" t="n"/>
      <c r="AC43" s="30" t="n"/>
      <c r="AE43" t="n">
        <v>2</v>
      </c>
      <c r="AF43">
        <f>AQ36</f>
        <v/>
      </c>
      <c r="AH43" t="n">
        <v>2</v>
      </c>
      <c r="AI43">
        <f>AR36</f>
        <v/>
      </c>
    </row>
    <row r="44">
      <c r="A44" s="4" t="n"/>
      <c r="B44" s="4" t="inlineStr">
        <is>
          <t>GUDANG</t>
        </is>
      </c>
      <c r="C44" s="4" t="inlineStr">
        <is>
          <t>A</t>
        </is>
      </c>
      <c r="D44" s="4" t="inlineStr">
        <is>
          <t>B</t>
        </is>
      </c>
      <c r="E44" s="4" t="inlineStr">
        <is>
          <t>C</t>
        </is>
      </c>
      <c r="F44" s="4" t="inlineStr">
        <is>
          <t>D</t>
        </is>
      </c>
      <c r="G44" s="4" t="inlineStr">
        <is>
          <t>E</t>
        </is>
      </c>
      <c r="H44" s="4" t="inlineStr">
        <is>
          <t>F</t>
        </is>
      </c>
      <c r="I44" s="4" t="inlineStr">
        <is>
          <t>G</t>
        </is>
      </c>
      <c r="J44" s="4" t="inlineStr">
        <is>
          <t>H</t>
        </is>
      </c>
      <c r="K44" s="4" t="inlineStr">
        <is>
          <t>I</t>
        </is>
      </c>
      <c r="L44" s="4" t="inlineStr">
        <is>
          <t>J</t>
        </is>
      </c>
      <c r="M44" s="4" t="inlineStr">
        <is>
          <t>K</t>
        </is>
      </c>
      <c r="N44" s="4" t="inlineStr">
        <is>
          <t>L</t>
        </is>
      </c>
      <c r="O44" s="4" t="inlineStr">
        <is>
          <t>M</t>
        </is>
      </c>
      <c r="P44" s="4" t="inlineStr">
        <is>
          <t>N</t>
        </is>
      </c>
      <c r="Q44" s="4" t="inlineStr">
        <is>
          <t>O</t>
        </is>
      </c>
      <c r="R44" s="4" t="inlineStr">
        <is>
          <t>P</t>
        </is>
      </c>
      <c r="S44" s="4" t="inlineStr">
        <is>
          <t>Q</t>
        </is>
      </c>
      <c r="T44" s="4" t="inlineStr">
        <is>
          <t>R</t>
        </is>
      </c>
      <c r="U44" s="4" t="inlineStr">
        <is>
          <t>S</t>
        </is>
      </c>
      <c r="V44" s="4" t="inlineStr">
        <is>
          <t>T</t>
        </is>
      </c>
      <c r="W44" s="4" t="inlineStr">
        <is>
          <t>U</t>
        </is>
      </c>
      <c r="X44" s="4" t="inlineStr">
        <is>
          <t>V</t>
        </is>
      </c>
      <c r="Y44" s="4" t="inlineStr">
        <is>
          <t>W</t>
        </is>
      </c>
      <c r="Z44" s="4" t="inlineStr">
        <is>
          <t>X</t>
        </is>
      </c>
      <c r="AA44" s="4" t="inlineStr">
        <is>
          <t>Y</t>
        </is>
      </c>
      <c r="AC44" s="30" t="n"/>
      <c r="AE44" t="n">
        <v>3</v>
      </c>
      <c r="AF44">
        <f>AY36</f>
        <v/>
      </c>
      <c r="AH44" t="n">
        <v>3</v>
      </c>
      <c r="AI44">
        <f>AZ36</f>
        <v/>
      </c>
    </row>
    <row r="45">
      <c r="A45" s="6" t="inlineStr">
        <is>
          <t>GUDANG</t>
        </is>
      </c>
      <c r="B45" s="7" t="n">
        <v>0</v>
      </c>
      <c r="C45" s="8" t="n">
        <v>9.4</v>
      </c>
      <c r="D45" s="8" t="n">
        <v>15.3</v>
      </c>
      <c r="E45" s="8" t="n">
        <v>14.1</v>
      </c>
      <c r="F45" s="8" t="n">
        <v>14.5</v>
      </c>
      <c r="G45" s="8" t="n">
        <v>20</v>
      </c>
      <c r="H45" s="8" t="n">
        <v>25</v>
      </c>
      <c r="I45" s="8" t="n">
        <v>23</v>
      </c>
      <c r="J45" s="8" t="n">
        <v>19.2</v>
      </c>
      <c r="K45" s="8" t="n">
        <v>18.8</v>
      </c>
      <c r="L45" s="8" t="n">
        <v>24.9</v>
      </c>
      <c r="M45" s="8" t="n">
        <v>27.1</v>
      </c>
      <c r="N45" s="8" t="n">
        <v>27.6</v>
      </c>
      <c r="O45" s="8" t="n">
        <v>30.9</v>
      </c>
      <c r="P45" s="8" t="n">
        <v>28.3</v>
      </c>
      <c r="Q45" s="8" t="n">
        <v>25.5</v>
      </c>
      <c r="R45" s="8" t="n">
        <v>38</v>
      </c>
      <c r="S45" s="8" t="n">
        <v>40.4</v>
      </c>
      <c r="T45" s="8" t="n">
        <v>46.3</v>
      </c>
      <c r="U45" s="8" t="n">
        <v>40.4</v>
      </c>
      <c r="V45" s="8" t="n">
        <v>45.1</v>
      </c>
      <c r="W45" s="8" t="n">
        <v>25.1</v>
      </c>
      <c r="X45" s="8" t="n">
        <v>19.3</v>
      </c>
      <c r="Y45" s="8" t="n">
        <v>29</v>
      </c>
      <c r="Z45" s="8" t="n">
        <v>27.9</v>
      </c>
      <c r="AA45" s="8" t="n">
        <v>26.9</v>
      </c>
      <c r="AC45" s="30" t="n"/>
    </row>
    <row r="46">
      <c r="A46" s="6" t="inlineStr">
        <is>
          <t>A</t>
        </is>
      </c>
      <c r="B46" s="8" t="n">
        <v>9.4</v>
      </c>
      <c r="C46" s="7" t="n">
        <v>0</v>
      </c>
      <c r="D46" s="5" t="n">
        <v>8</v>
      </c>
      <c r="E46" s="5" t="n">
        <v>6.8</v>
      </c>
      <c r="F46" s="5" t="n">
        <v>7.2</v>
      </c>
      <c r="G46" s="5" t="n">
        <v>12.7</v>
      </c>
      <c r="H46" s="5" t="n">
        <v>13.2</v>
      </c>
      <c r="I46" s="5" t="n">
        <v>13.7</v>
      </c>
      <c r="J46" s="5" t="n">
        <v>10.8</v>
      </c>
      <c r="K46" s="5" t="n">
        <v>11.5</v>
      </c>
      <c r="L46" s="5" t="n">
        <v>16.7</v>
      </c>
      <c r="M46" s="5" t="n">
        <v>21.1</v>
      </c>
      <c r="N46" s="5" t="n">
        <v>21.8</v>
      </c>
      <c r="O46" s="5" t="n">
        <v>21</v>
      </c>
      <c r="P46" s="5" t="n">
        <v>23</v>
      </c>
      <c r="Q46" s="5" t="n">
        <v>18.2</v>
      </c>
      <c r="R46" s="5" t="n">
        <v>30.7</v>
      </c>
      <c r="S46" s="5" t="n">
        <v>33</v>
      </c>
      <c r="T46" s="5" t="n">
        <v>38.3</v>
      </c>
      <c r="U46" s="5" t="n">
        <v>33.1</v>
      </c>
      <c r="V46" s="5" t="n">
        <v>37.8</v>
      </c>
      <c r="W46" s="5" t="n">
        <v>17.8</v>
      </c>
      <c r="X46" s="5" t="n">
        <v>12</v>
      </c>
      <c r="Y46" s="5" t="n">
        <v>21.6</v>
      </c>
      <c r="Z46" s="5" t="n">
        <v>20.9</v>
      </c>
      <c r="AA46" s="5" t="n">
        <v>19.6</v>
      </c>
      <c r="AC46" s="30" t="n"/>
    </row>
    <row r="47">
      <c r="A47" s="6" t="inlineStr">
        <is>
          <t>B</t>
        </is>
      </c>
      <c r="B47" s="8" t="n">
        <v>15.3</v>
      </c>
      <c r="C47" s="5" t="n">
        <v>8</v>
      </c>
      <c r="D47" s="7" t="n">
        <v>0</v>
      </c>
      <c r="E47" s="5" t="n">
        <v>3.6</v>
      </c>
      <c r="F47" s="5" t="n">
        <v>1</v>
      </c>
      <c r="G47" s="5" t="n">
        <v>5.1</v>
      </c>
      <c r="H47" s="5" t="n">
        <v>5.6</v>
      </c>
      <c r="I47" s="5" t="n">
        <v>6.1</v>
      </c>
      <c r="J47" s="5" t="n">
        <v>5.3</v>
      </c>
      <c r="K47" s="5" t="n">
        <v>4.9</v>
      </c>
      <c r="L47" s="5" t="n">
        <v>9.800000000000001</v>
      </c>
      <c r="M47" s="5" t="n">
        <v>13.3</v>
      </c>
      <c r="N47" s="5" t="n">
        <v>13.8</v>
      </c>
      <c r="O47" s="5" t="n">
        <v>14.3</v>
      </c>
      <c r="P47" s="5" t="n">
        <v>14.3</v>
      </c>
      <c r="Q47" s="5" t="n">
        <v>11.7</v>
      </c>
      <c r="R47" s="5" t="n">
        <v>24.1</v>
      </c>
      <c r="S47" s="5" t="n">
        <v>26.4</v>
      </c>
      <c r="T47" s="5" t="n">
        <v>31.6</v>
      </c>
      <c r="U47" s="5" t="n">
        <v>26.4</v>
      </c>
      <c r="V47" s="5" t="n">
        <v>31.1</v>
      </c>
      <c r="W47" s="5" t="n">
        <v>11.7</v>
      </c>
      <c r="X47" s="5" t="n">
        <v>5.6</v>
      </c>
      <c r="Y47" s="5" t="n">
        <v>18.9</v>
      </c>
      <c r="Z47" s="5" t="n">
        <v>16.6</v>
      </c>
      <c r="AA47" s="5" t="n">
        <v>15.7</v>
      </c>
      <c r="AC47" s="30" t="n"/>
    </row>
    <row r="48">
      <c r="A48" s="6" t="inlineStr">
        <is>
          <t>C</t>
        </is>
      </c>
      <c r="B48" s="8" t="n">
        <v>14.1</v>
      </c>
      <c r="C48" s="5" t="n">
        <v>6.8</v>
      </c>
      <c r="D48" s="5" t="n">
        <v>3.6</v>
      </c>
      <c r="E48" s="7" t="n">
        <v>0</v>
      </c>
      <c r="F48" s="5" t="n">
        <v>2.9</v>
      </c>
      <c r="G48" s="5" t="n">
        <v>6.4</v>
      </c>
      <c r="H48" s="5" t="n">
        <v>6.9</v>
      </c>
      <c r="I48" s="5" t="n">
        <v>8.800000000000001</v>
      </c>
      <c r="J48" s="5" t="n">
        <v>8.9</v>
      </c>
      <c r="K48" s="5" t="n">
        <v>5.1</v>
      </c>
      <c r="L48" s="5" t="n">
        <v>10.3</v>
      </c>
      <c r="M48" s="5" t="n">
        <v>13.4</v>
      </c>
      <c r="N48" s="5" t="n">
        <v>13.9</v>
      </c>
      <c r="O48" s="5" t="n">
        <v>14.2</v>
      </c>
      <c r="P48" s="5" t="n">
        <v>14.2</v>
      </c>
      <c r="Q48" s="5" t="n">
        <v>11.8</v>
      </c>
      <c r="R48" s="5" t="n">
        <v>23.9</v>
      </c>
      <c r="S48" s="5" t="n">
        <v>26.2</v>
      </c>
      <c r="T48" s="5" t="n">
        <v>31.5</v>
      </c>
      <c r="U48" s="5" t="n">
        <v>26.2</v>
      </c>
      <c r="V48" s="5" t="n">
        <v>30.9</v>
      </c>
      <c r="W48" s="5" t="n">
        <v>10.3</v>
      </c>
      <c r="X48" s="5" t="n">
        <v>5.1</v>
      </c>
      <c r="Y48" s="5" t="n">
        <v>16</v>
      </c>
      <c r="Z48" s="5" t="n">
        <v>14.4</v>
      </c>
      <c r="AA48" s="5" t="n">
        <v>12.8</v>
      </c>
      <c r="AC48" s="30" t="n"/>
    </row>
    <row r="49">
      <c r="A49" s="6" t="inlineStr">
        <is>
          <t>D</t>
        </is>
      </c>
      <c r="B49" s="8" t="n">
        <v>14.5</v>
      </c>
      <c r="C49" s="5" t="n">
        <v>7.2</v>
      </c>
      <c r="D49" s="5" t="n">
        <v>1</v>
      </c>
      <c r="E49" s="5" t="n">
        <v>2.9</v>
      </c>
      <c r="F49" s="7" t="n">
        <v>0</v>
      </c>
      <c r="G49" s="5" t="n">
        <v>4.7</v>
      </c>
      <c r="H49" s="5" t="n">
        <v>5.2</v>
      </c>
      <c r="I49" s="5" t="n">
        <v>7</v>
      </c>
      <c r="J49" s="5" t="n">
        <v>6.3</v>
      </c>
      <c r="K49" s="5" t="n">
        <v>4.2</v>
      </c>
      <c r="L49" s="5" t="n">
        <v>9.5</v>
      </c>
      <c r="M49" s="5" t="n">
        <v>12.5</v>
      </c>
      <c r="N49" s="5" t="n">
        <v>13.1</v>
      </c>
      <c r="O49" s="5" t="n">
        <v>13.6</v>
      </c>
      <c r="P49" s="5" t="n">
        <v>13.6</v>
      </c>
      <c r="Q49" s="5" t="n">
        <v>11</v>
      </c>
      <c r="R49" s="5" t="n">
        <v>23.4</v>
      </c>
      <c r="S49" s="5" t="n">
        <v>25.7</v>
      </c>
      <c r="T49" s="5" t="n">
        <v>30.9</v>
      </c>
      <c r="U49" s="5" t="n">
        <v>26.9</v>
      </c>
      <c r="V49" s="5" t="n">
        <v>30.4</v>
      </c>
      <c r="W49" s="5" t="n">
        <v>11</v>
      </c>
      <c r="X49" s="5" t="n">
        <v>4.9</v>
      </c>
      <c r="Y49" s="5" t="n">
        <v>18.2</v>
      </c>
      <c r="Z49" s="5" t="n">
        <v>15.9</v>
      </c>
      <c r="AA49" s="5" t="n">
        <v>14.3</v>
      </c>
      <c r="AC49" s="30" t="n"/>
    </row>
    <row r="50">
      <c r="A50" s="6" t="inlineStr">
        <is>
          <t>E</t>
        </is>
      </c>
      <c r="B50" s="8" t="n">
        <v>20</v>
      </c>
      <c r="C50" s="5" t="n">
        <v>12.7</v>
      </c>
      <c r="D50" s="5" t="n">
        <v>5.1</v>
      </c>
      <c r="E50" s="5" t="n">
        <v>6.4</v>
      </c>
      <c r="F50" s="5" t="n">
        <v>4.7</v>
      </c>
      <c r="G50" s="7" t="n">
        <v>0</v>
      </c>
      <c r="H50" s="5" t="n">
        <v>5.2</v>
      </c>
      <c r="I50" s="5" t="n">
        <v>7</v>
      </c>
      <c r="J50" s="5" t="n">
        <v>6.3</v>
      </c>
      <c r="K50" s="5" t="n">
        <v>4.2</v>
      </c>
      <c r="L50" s="5" t="n">
        <v>9.5</v>
      </c>
      <c r="M50" s="5" t="n">
        <v>12.5</v>
      </c>
      <c r="N50" s="5" t="n">
        <v>13.1</v>
      </c>
      <c r="O50" s="5" t="n">
        <v>13.6</v>
      </c>
      <c r="P50" s="5" t="n">
        <v>13.6</v>
      </c>
      <c r="Q50" s="5" t="n">
        <v>11</v>
      </c>
      <c r="R50" s="5" t="n">
        <v>23.4</v>
      </c>
      <c r="S50" s="5" t="n">
        <v>25.7</v>
      </c>
      <c r="T50" s="5" t="n">
        <v>30.9</v>
      </c>
      <c r="U50" s="5" t="n">
        <v>25.7</v>
      </c>
      <c r="V50" s="5" t="n">
        <v>30.4</v>
      </c>
      <c r="W50" s="5" t="n">
        <v>11</v>
      </c>
      <c r="X50" s="5" t="n">
        <v>4.9</v>
      </c>
      <c r="Y50" s="5" t="n">
        <v>16</v>
      </c>
      <c r="Z50" s="5" t="n">
        <v>15.9</v>
      </c>
      <c r="AA50" s="5" t="n">
        <v>15</v>
      </c>
      <c r="AC50" s="30" t="n"/>
    </row>
    <row r="51">
      <c r="A51" s="6" t="inlineStr">
        <is>
          <t>F</t>
        </is>
      </c>
      <c r="B51" s="8" t="n">
        <v>25</v>
      </c>
      <c r="C51" s="5" t="n">
        <v>13.2</v>
      </c>
      <c r="D51" s="5" t="n">
        <v>5.6</v>
      </c>
      <c r="E51" s="5" t="n">
        <v>6.9</v>
      </c>
      <c r="F51" s="5" t="n">
        <v>5.2</v>
      </c>
      <c r="G51" s="5" t="n">
        <v>5.2</v>
      </c>
      <c r="H51" s="7" t="n">
        <v>0</v>
      </c>
      <c r="I51" s="5" t="n">
        <v>2.7</v>
      </c>
      <c r="J51" s="5" t="n">
        <v>3</v>
      </c>
      <c r="K51" s="5" t="n">
        <v>3.8</v>
      </c>
      <c r="L51" s="5" t="n">
        <v>4.9</v>
      </c>
      <c r="M51" s="5" t="n">
        <v>9.6</v>
      </c>
      <c r="N51" s="5" t="n">
        <v>10.2</v>
      </c>
      <c r="O51" s="5" t="n">
        <v>10.7</v>
      </c>
      <c r="P51" s="5" t="n">
        <v>10.7</v>
      </c>
      <c r="Q51" s="5" t="n">
        <v>8.300000000000001</v>
      </c>
      <c r="R51" s="5" t="n">
        <v>20.4</v>
      </c>
      <c r="S51" s="5" t="n">
        <v>22.7</v>
      </c>
      <c r="T51" s="5" t="n">
        <v>27.9</v>
      </c>
      <c r="U51" s="5" t="n">
        <v>22.7</v>
      </c>
      <c r="V51" s="5" t="n">
        <v>27.4</v>
      </c>
      <c r="W51" s="5" t="n">
        <v>10.2</v>
      </c>
      <c r="X51" s="5" t="n">
        <v>4.9</v>
      </c>
      <c r="Y51" s="5" t="n">
        <v>15.2</v>
      </c>
      <c r="Z51" s="5" t="n">
        <v>15.1</v>
      </c>
      <c r="AA51" s="5" t="n">
        <v>12.8</v>
      </c>
      <c r="AC51" s="30" t="n"/>
    </row>
    <row r="52">
      <c r="A52" s="6" t="inlineStr">
        <is>
          <t>G</t>
        </is>
      </c>
      <c r="B52" s="8" t="n">
        <v>23</v>
      </c>
      <c r="C52" s="5" t="n">
        <v>13.7</v>
      </c>
      <c r="D52" s="5" t="n">
        <v>6.1</v>
      </c>
      <c r="E52" s="5" t="n">
        <v>8.800000000000001</v>
      </c>
      <c r="F52" s="5" t="n">
        <v>7</v>
      </c>
      <c r="G52" s="5" t="n">
        <v>7</v>
      </c>
      <c r="H52" s="5" t="n">
        <v>2.7</v>
      </c>
      <c r="I52" s="7" t="n">
        <v>0</v>
      </c>
      <c r="J52" s="5" t="n">
        <v>3</v>
      </c>
      <c r="K52" s="5" t="n">
        <v>5.5</v>
      </c>
      <c r="L52" s="5" t="n">
        <v>5</v>
      </c>
      <c r="M52" s="5" t="n">
        <v>11.3</v>
      </c>
      <c r="N52" s="5" t="n">
        <v>11.8</v>
      </c>
      <c r="O52" s="5" t="n">
        <v>12.3</v>
      </c>
      <c r="P52" s="5" t="n">
        <v>12.3</v>
      </c>
      <c r="Q52" s="5" t="n">
        <v>10</v>
      </c>
      <c r="R52" s="5" t="n">
        <v>22.1</v>
      </c>
      <c r="S52" s="5" t="n">
        <v>24.4</v>
      </c>
      <c r="T52" s="5" t="n">
        <v>29.6</v>
      </c>
      <c r="U52" s="5" t="n">
        <v>24.4</v>
      </c>
      <c r="V52" s="5" t="n">
        <v>29.1</v>
      </c>
      <c r="W52" s="5" t="n">
        <v>12</v>
      </c>
      <c r="X52" s="5" t="n">
        <v>6.6</v>
      </c>
      <c r="Y52" s="5" t="n">
        <v>16.9</v>
      </c>
      <c r="Z52" s="5" t="n">
        <v>16.9</v>
      </c>
      <c r="AA52" s="5" t="n">
        <v>14.5</v>
      </c>
      <c r="AC52" s="30" t="n"/>
    </row>
    <row r="53">
      <c r="A53" s="6" t="inlineStr">
        <is>
          <t>H</t>
        </is>
      </c>
      <c r="B53" s="8" t="n">
        <v>19.2</v>
      </c>
      <c r="C53" s="5" t="n">
        <v>10.8</v>
      </c>
      <c r="D53" s="5" t="n">
        <v>5.3</v>
      </c>
      <c r="E53" s="5" t="n">
        <v>8.9</v>
      </c>
      <c r="F53" s="5" t="n">
        <v>6.3</v>
      </c>
      <c r="G53" s="5" t="n">
        <v>6.3</v>
      </c>
      <c r="H53" s="5" t="n">
        <v>3</v>
      </c>
      <c r="I53" s="5" t="n">
        <v>3</v>
      </c>
      <c r="J53" s="7" t="n">
        <v>0</v>
      </c>
      <c r="K53" s="5" t="n">
        <v>5.9</v>
      </c>
      <c r="L53" s="5" t="n">
        <v>7.4</v>
      </c>
      <c r="M53" s="5" t="n">
        <v>11.7</v>
      </c>
      <c r="N53" s="5" t="n">
        <v>12.2</v>
      </c>
      <c r="O53" s="5" t="n">
        <v>12.7</v>
      </c>
      <c r="P53" s="5" t="n">
        <v>12.7</v>
      </c>
      <c r="Q53" s="5" t="n">
        <v>10.3</v>
      </c>
      <c r="R53" s="5" t="n">
        <v>22.4</v>
      </c>
      <c r="S53" s="5" t="n">
        <v>24.7</v>
      </c>
      <c r="T53" s="5" t="n">
        <v>30</v>
      </c>
      <c r="U53" s="5" t="n">
        <v>24.8</v>
      </c>
      <c r="V53" s="5" t="n">
        <v>29.5</v>
      </c>
      <c r="W53" s="5" t="n">
        <v>12.4</v>
      </c>
      <c r="X53" s="5" t="n">
        <v>6.9</v>
      </c>
      <c r="Y53" s="5" t="n">
        <v>17.3</v>
      </c>
      <c r="Z53" s="5" t="n">
        <v>17.2</v>
      </c>
      <c r="AA53" s="5" t="n">
        <v>14.8</v>
      </c>
      <c r="AC53" s="30" t="n"/>
    </row>
    <row r="54">
      <c r="A54" s="6" t="inlineStr">
        <is>
          <t>I</t>
        </is>
      </c>
      <c r="B54" s="8" t="n">
        <v>18.8</v>
      </c>
      <c r="C54" s="5" t="n">
        <v>11.5</v>
      </c>
      <c r="D54" s="5" t="n">
        <v>4.9</v>
      </c>
      <c r="E54" s="5" t="n">
        <v>5.1</v>
      </c>
      <c r="F54" s="5" t="n">
        <v>4.2</v>
      </c>
      <c r="G54" s="5" t="n">
        <v>4.2</v>
      </c>
      <c r="H54" s="5" t="n">
        <v>3.8</v>
      </c>
      <c r="I54" s="5" t="n">
        <v>5.5</v>
      </c>
      <c r="J54" s="5" t="n">
        <v>5.9</v>
      </c>
      <c r="K54" s="7" t="n">
        <v>0</v>
      </c>
      <c r="L54" s="5" t="n">
        <v>5.3</v>
      </c>
      <c r="M54" s="5" t="n">
        <v>8.4</v>
      </c>
      <c r="N54" s="5" t="n">
        <v>8.9</v>
      </c>
      <c r="O54" s="5" t="n">
        <v>9.5</v>
      </c>
      <c r="P54" s="5" t="n">
        <v>9.4</v>
      </c>
      <c r="Q54" s="5" t="n">
        <v>6.8</v>
      </c>
      <c r="R54" s="5" t="n">
        <v>19.2</v>
      </c>
      <c r="S54" s="5" t="n">
        <v>21.5</v>
      </c>
      <c r="T54" s="5" t="n">
        <v>26.8</v>
      </c>
      <c r="U54" s="5" t="n">
        <v>21.2</v>
      </c>
      <c r="V54" s="5" t="n">
        <v>26.2</v>
      </c>
      <c r="W54" s="5" t="n">
        <v>8.300000000000001</v>
      </c>
      <c r="X54" s="5" t="n">
        <v>1.1</v>
      </c>
      <c r="Y54" s="5" t="n">
        <v>13</v>
      </c>
      <c r="Z54" s="5" t="n">
        <v>12.9</v>
      </c>
      <c r="AA54" s="5" t="n">
        <v>10.8</v>
      </c>
      <c r="AC54" s="30" t="n"/>
    </row>
    <row r="55">
      <c r="A55" s="6" t="inlineStr">
        <is>
          <t>J</t>
        </is>
      </c>
      <c r="B55" s="8" t="n">
        <v>24.9</v>
      </c>
      <c r="C55" s="5" t="n">
        <v>16.7</v>
      </c>
      <c r="D55" s="5" t="n">
        <v>9.800000000000001</v>
      </c>
      <c r="E55" s="5" t="n">
        <v>10.3</v>
      </c>
      <c r="F55" s="5" t="n">
        <v>9.5</v>
      </c>
      <c r="G55" s="5" t="n">
        <v>9.5</v>
      </c>
      <c r="H55" s="5" t="n">
        <v>4.9</v>
      </c>
      <c r="I55" s="5" t="n">
        <v>5</v>
      </c>
      <c r="J55" s="5" t="n">
        <v>7.4</v>
      </c>
      <c r="K55" s="5" t="n">
        <v>5.3</v>
      </c>
      <c r="L55" s="7" t="n">
        <v>0</v>
      </c>
      <c r="M55" s="5" t="n">
        <v>6.7</v>
      </c>
      <c r="N55" s="5" t="n">
        <v>7.2</v>
      </c>
      <c r="O55" s="5" t="n">
        <v>7.7</v>
      </c>
      <c r="P55" s="5" t="n">
        <v>8.1</v>
      </c>
      <c r="Q55" s="5" t="n">
        <v>5.4</v>
      </c>
      <c r="R55" s="5" t="n">
        <v>17.4</v>
      </c>
      <c r="S55" s="5" t="n">
        <v>20.1</v>
      </c>
      <c r="T55" s="5" t="n">
        <v>25.3</v>
      </c>
      <c r="U55" s="5" t="n">
        <v>19.8</v>
      </c>
      <c r="V55" s="5" t="n">
        <v>24.5</v>
      </c>
      <c r="W55" s="5" t="n">
        <v>7.6</v>
      </c>
      <c r="X55" s="5" t="n">
        <v>5.1</v>
      </c>
      <c r="Y55" s="5" t="n">
        <v>15.7</v>
      </c>
      <c r="Z55" s="5" t="n">
        <v>18.4</v>
      </c>
      <c r="AA55" s="5" t="n">
        <v>10.2</v>
      </c>
      <c r="AC55" s="30" t="n"/>
    </row>
    <row r="56">
      <c r="A56" s="6" t="inlineStr">
        <is>
          <t>K</t>
        </is>
      </c>
      <c r="B56" s="8" t="n">
        <v>27.1</v>
      </c>
      <c r="C56" s="5" t="n">
        <v>21.1</v>
      </c>
      <c r="D56" s="5" t="n">
        <v>13.3</v>
      </c>
      <c r="E56" s="5" t="n">
        <v>13.4</v>
      </c>
      <c r="F56" s="5" t="n">
        <v>12.5</v>
      </c>
      <c r="G56" s="5" t="n">
        <v>12.5</v>
      </c>
      <c r="H56" s="5" t="n">
        <v>9.6</v>
      </c>
      <c r="I56" s="5" t="n">
        <v>11.3</v>
      </c>
      <c r="J56" s="5" t="n">
        <v>11.7</v>
      </c>
      <c r="K56" s="5" t="n">
        <v>8.4</v>
      </c>
      <c r="L56" s="5" t="n">
        <v>6.7</v>
      </c>
      <c r="M56" s="7" t="n">
        <v>0</v>
      </c>
      <c r="N56" s="5" t="n">
        <v>1.2</v>
      </c>
      <c r="O56" s="5" t="n">
        <v>1.3</v>
      </c>
      <c r="P56" s="5" t="n">
        <v>1.5</v>
      </c>
      <c r="Q56" s="5" t="n">
        <v>2.3</v>
      </c>
      <c r="R56" s="5" t="n">
        <v>11</v>
      </c>
      <c r="S56" s="5" t="n">
        <v>13.7</v>
      </c>
      <c r="T56" s="5" t="n">
        <v>19.3</v>
      </c>
      <c r="U56" s="5" t="n">
        <v>13.4</v>
      </c>
      <c r="V56" s="5" t="n">
        <v>18.1</v>
      </c>
      <c r="W56" s="5" t="n">
        <v>9.800000000000001</v>
      </c>
      <c r="X56" s="5" t="n">
        <v>14.9</v>
      </c>
      <c r="Y56" s="5" t="n">
        <v>18.9</v>
      </c>
      <c r="Z56" s="5" t="n">
        <v>12</v>
      </c>
      <c r="AA56" s="5" t="n">
        <v>9.699999999999999</v>
      </c>
      <c r="AC56" s="30" t="n"/>
    </row>
    <row r="57">
      <c r="A57" s="6" t="inlineStr">
        <is>
          <t>L</t>
        </is>
      </c>
      <c r="B57" s="8" t="n">
        <v>27.6</v>
      </c>
      <c r="C57" s="5" t="n">
        <v>21.8</v>
      </c>
      <c r="D57" s="5" t="n">
        <v>13.8</v>
      </c>
      <c r="E57" s="5" t="n">
        <v>13.9</v>
      </c>
      <c r="F57" s="5" t="n">
        <v>13.1</v>
      </c>
      <c r="G57" s="5" t="n">
        <v>13.1</v>
      </c>
      <c r="H57" s="5" t="n">
        <v>10.2</v>
      </c>
      <c r="I57" s="5" t="n">
        <v>11.8</v>
      </c>
      <c r="J57" s="5" t="n">
        <v>12.2</v>
      </c>
      <c r="K57" s="5" t="n">
        <v>8.9</v>
      </c>
      <c r="L57" s="5" t="n">
        <v>7.2</v>
      </c>
      <c r="M57" s="5" t="n">
        <v>1.2</v>
      </c>
      <c r="N57" s="7" t="n">
        <v>0</v>
      </c>
      <c r="O57" s="5" t="n">
        <v>3.4</v>
      </c>
      <c r="P57" s="5" t="n">
        <v>1.7</v>
      </c>
      <c r="Q57" s="5" t="n">
        <v>2</v>
      </c>
      <c r="R57" s="5" t="n">
        <v>11</v>
      </c>
      <c r="S57" s="5" t="n">
        <v>14</v>
      </c>
      <c r="T57" s="5" t="n">
        <v>18.9</v>
      </c>
      <c r="U57" s="5" t="n">
        <v>13.3</v>
      </c>
      <c r="V57" s="5" t="n">
        <v>18</v>
      </c>
      <c r="W57" s="5" t="n">
        <v>5.6</v>
      </c>
      <c r="X57" s="5" t="n">
        <v>9.4</v>
      </c>
      <c r="Y57" s="5" t="n">
        <v>14.9</v>
      </c>
      <c r="Z57" s="5" t="n">
        <v>11.9</v>
      </c>
      <c r="AA57" s="5" t="n">
        <v>10.3</v>
      </c>
      <c r="AC57" s="30" t="n"/>
    </row>
    <row r="58">
      <c r="A58" s="6" t="inlineStr">
        <is>
          <t>M</t>
        </is>
      </c>
      <c r="B58" s="8" t="n">
        <v>30.9</v>
      </c>
      <c r="C58" s="5" t="n">
        <v>21</v>
      </c>
      <c r="D58" s="5" t="n">
        <v>14.3</v>
      </c>
      <c r="E58" s="5" t="n">
        <v>14.2</v>
      </c>
      <c r="F58" s="5" t="n">
        <v>13.6</v>
      </c>
      <c r="G58" s="5" t="n">
        <v>13.6</v>
      </c>
      <c r="H58" s="5" t="n">
        <v>10.7</v>
      </c>
      <c r="I58" s="5" t="n">
        <v>12.3</v>
      </c>
      <c r="J58" s="5" t="n">
        <v>12.7</v>
      </c>
      <c r="K58" s="5" t="n">
        <v>9.5</v>
      </c>
      <c r="L58" s="5" t="n">
        <v>7.7</v>
      </c>
      <c r="M58" s="5" t="n">
        <v>1.3</v>
      </c>
      <c r="N58" s="5" t="n">
        <v>3.4</v>
      </c>
      <c r="O58" s="7" t="n">
        <v>0</v>
      </c>
      <c r="P58" s="5" t="n">
        <v>3.2</v>
      </c>
      <c r="Q58" s="5" t="n">
        <v>5.4</v>
      </c>
      <c r="R58" s="5" t="n">
        <v>7.7</v>
      </c>
      <c r="S58" s="5" t="n">
        <v>10.2</v>
      </c>
      <c r="T58" s="5" t="n">
        <v>15.9</v>
      </c>
      <c r="U58" s="5" t="n">
        <v>10</v>
      </c>
      <c r="V58" s="5" t="n">
        <v>14.7</v>
      </c>
      <c r="W58" s="5" t="n">
        <v>8.699999999999999</v>
      </c>
      <c r="X58" s="5" t="n">
        <v>13.6</v>
      </c>
      <c r="Y58" s="5" t="n">
        <v>14.1</v>
      </c>
      <c r="Z58" s="5" t="n">
        <v>11.1</v>
      </c>
      <c r="AA58" s="5" t="n">
        <v>8.9</v>
      </c>
      <c r="AC58" s="30" t="n"/>
    </row>
    <row r="59">
      <c r="A59" s="6" t="inlineStr">
        <is>
          <t>N</t>
        </is>
      </c>
      <c r="B59" s="8" t="n">
        <v>28.3</v>
      </c>
      <c r="C59" s="5" t="n">
        <v>23</v>
      </c>
      <c r="D59" s="5" t="n">
        <v>14.3</v>
      </c>
      <c r="E59" s="5" t="n">
        <v>14.2</v>
      </c>
      <c r="F59" s="5" t="n">
        <v>13.6</v>
      </c>
      <c r="G59" s="5" t="n">
        <v>13.6</v>
      </c>
      <c r="H59" s="5" t="n">
        <v>10.7</v>
      </c>
      <c r="I59" s="5" t="n">
        <v>12.3</v>
      </c>
      <c r="J59" s="5" t="n">
        <v>12.7</v>
      </c>
      <c r="K59" s="5" t="n">
        <v>9.4</v>
      </c>
      <c r="L59" s="5" t="n">
        <v>8.1</v>
      </c>
      <c r="M59" s="5" t="n">
        <v>1.5</v>
      </c>
      <c r="N59" s="5" t="n">
        <v>1.7</v>
      </c>
      <c r="O59" s="5" t="n">
        <v>3.2</v>
      </c>
      <c r="P59" s="7" t="n">
        <v>0</v>
      </c>
      <c r="Q59" s="5" t="n">
        <v>2.9</v>
      </c>
      <c r="R59" s="5" t="n">
        <v>9.699999999999999</v>
      </c>
      <c r="S59" s="5" t="n">
        <v>12.4</v>
      </c>
      <c r="T59" s="5" t="n">
        <v>17.6</v>
      </c>
      <c r="U59" s="5" t="n">
        <v>12.1</v>
      </c>
      <c r="V59" s="5" t="n">
        <v>16.8</v>
      </c>
      <c r="W59" s="5" t="n">
        <v>6.8</v>
      </c>
      <c r="X59" s="5" t="n">
        <v>10</v>
      </c>
      <c r="Y59" s="5" t="n">
        <v>13.6</v>
      </c>
      <c r="Z59" s="5" t="n">
        <v>10.7</v>
      </c>
      <c r="AA59" s="5" t="n">
        <v>9.1</v>
      </c>
      <c r="AC59" s="30" t="n"/>
    </row>
    <row r="60">
      <c r="A60" s="6" t="inlineStr">
        <is>
          <t>O</t>
        </is>
      </c>
      <c r="B60" s="8" t="n">
        <v>25.5</v>
      </c>
      <c r="C60" s="5" t="n">
        <v>18.2</v>
      </c>
      <c r="D60" s="5" t="n">
        <v>11.7</v>
      </c>
      <c r="E60" s="5" t="n">
        <v>11.8</v>
      </c>
      <c r="F60" s="5" t="n">
        <v>11</v>
      </c>
      <c r="G60" s="5" t="n">
        <v>11</v>
      </c>
      <c r="H60" s="5" t="n">
        <v>8.300000000000001</v>
      </c>
      <c r="I60" s="5" t="n">
        <v>10</v>
      </c>
      <c r="J60" s="5" t="n">
        <v>10.3</v>
      </c>
      <c r="K60" s="5" t="n">
        <v>6.8</v>
      </c>
      <c r="L60" s="5" t="n">
        <v>5.4</v>
      </c>
      <c r="M60" s="5" t="n">
        <v>2.3</v>
      </c>
      <c r="N60" s="5" t="n">
        <v>2</v>
      </c>
      <c r="O60" s="5" t="n">
        <v>5.4</v>
      </c>
      <c r="P60" s="5" t="n">
        <v>2.9</v>
      </c>
      <c r="Q60" s="7" t="n">
        <v>0</v>
      </c>
      <c r="R60" s="5" t="n">
        <v>9.699999999999999</v>
      </c>
      <c r="S60" s="5" t="n">
        <v>12.4</v>
      </c>
      <c r="T60" s="5" t="n">
        <v>17.6</v>
      </c>
      <c r="U60" s="5" t="n">
        <v>12.1</v>
      </c>
      <c r="V60" s="5" t="n">
        <v>16.8</v>
      </c>
      <c r="W60" s="5" t="n">
        <v>6.8</v>
      </c>
      <c r="X60" s="5" t="n">
        <v>11.1</v>
      </c>
      <c r="Y60" s="5" t="n">
        <v>13.6</v>
      </c>
      <c r="Z60" s="5" t="n">
        <v>10.7</v>
      </c>
      <c r="AA60" s="5" t="n">
        <v>9.1</v>
      </c>
      <c r="AC60" s="30" t="n"/>
    </row>
    <row r="61">
      <c r="A61" s="6" t="inlineStr">
        <is>
          <t>P</t>
        </is>
      </c>
      <c r="B61" s="8" t="n">
        <v>38</v>
      </c>
      <c r="C61" s="5" t="n">
        <v>30.7</v>
      </c>
      <c r="D61" s="5" t="n">
        <v>24.1</v>
      </c>
      <c r="E61" s="5" t="n">
        <v>23.9</v>
      </c>
      <c r="F61" s="5" t="n">
        <v>23.4</v>
      </c>
      <c r="G61" s="5" t="n">
        <v>23.4</v>
      </c>
      <c r="H61" s="5" t="n">
        <v>20.4</v>
      </c>
      <c r="I61" s="5" t="n">
        <v>22.1</v>
      </c>
      <c r="J61" s="5" t="n">
        <v>22.4</v>
      </c>
      <c r="K61" s="5" t="n">
        <v>19.2</v>
      </c>
      <c r="L61" s="5" t="n">
        <v>17.4</v>
      </c>
      <c r="M61" s="5" t="n">
        <v>11</v>
      </c>
      <c r="N61" s="5" t="n">
        <v>11</v>
      </c>
      <c r="O61" s="5" t="n">
        <v>7.7</v>
      </c>
      <c r="P61" s="5" t="n">
        <v>9.699999999999999</v>
      </c>
      <c r="Q61" s="5" t="n">
        <v>9.699999999999999</v>
      </c>
      <c r="R61" s="7" t="n">
        <v>0</v>
      </c>
      <c r="S61" s="5" t="n">
        <v>6</v>
      </c>
      <c r="T61" s="5" t="n">
        <v>11.2</v>
      </c>
      <c r="U61" s="5" t="n">
        <v>2</v>
      </c>
      <c r="V61" s="5" t="n">
        <v>6.7</v>
      </c>
      <c r="W61" s="5" t="n">
        <v>14.5</v>
      </c>
      <c r="X61" s="5" t="n">
        <v>20.3</v>
      </c>
      <c r="Y61" s="5" t="n">
        <v>19.2</v>
      </c>
      <c r="Z61" s="5" t="n">
        <v>16.2</v>
      </c>
      <c r="AA61" s="5" t="n">
        <v>14.6</v>
      </c>
      <c r="AC61" s="30" t="n"/>
    </row>
    <row r="62">
      <c r="A62" s="6" t="inlineStr">
        <is>
          <t>Q</t>
        </is>
      </c>
      <c r="B62" s="8" t="n">
        <v>40.4</v>
      </c>
      <c r="C62" s="5" t="n">
        <v>33</v>
      </c>
      <c r="D62" s="5" t="n">
        <v>26.4</v>
      </c>
      <c r="E62" s="5" t="n">
        <v>26.2</v>
      </c>
      <c r="F62" s="5" t="n">
        <v>25.7</v>
      </c>
      <c r="G62" s="5" t="n">
        <v>25.7</v>
      </c>
      <c r="H62" s="5" t="n">
        <v>22.7</v>
      </c>
      <c r="I62" s="5" t="n">
        <v>24.4</v>
      </c>
      <c r="J62" s="5" t="n">
        <v>24.7</v>
      </c>
      <c r="K62" s="5" t="n">
        <v>21.5</v>
      </c>
      <c r="L62" s="5" t="n">
        <v>20.1</v>
      </c>
      <c r="M62" s="5" t="n">
        <v>13.7</v>
      </c>
      <c r="N62" s="5" t="n">
        <v>14</v>
      </c>
      <c r="O62" s="5" t="n">
        <v>10.2</v>
      </c>
      <c r="P62" s="5" t="n">
        <v>12.4</v>
      </c>
      <c r="Q62" s="5" t="n">
        <v>12.4</v>
      </c>
      <c r="R62" s="5" t="n">
        <v>6</v>
      </c>
      <c r="S62" s="7" t="n">
        <v>0</v>
      </c>
      <c r="T62" s="5" t="n">
        <v>5.2</v>
      </c>
      <c r="U62" s="5" t="n">
        <v>8.1</v>
      </c>
      <c r="V62" s="5" t="n">
        <v>12.3</v>
      </c>
      <c r="W62" s="5" t="n">
        <v>16.5</v>
      </c>
      <c r="X62" s="5" t="n">
        <v>24.5</v>
      </c>
      <c r="Y62" s="5" t="n">
        <v>23</v>
      </c>
      <c r="Z62" s="5" t="n">
        <v>14</v>
      </c>
      <c r="AA62" s="5" t="n">
        <v>13.7</v>
      </c>
      <c r="AC62" s="30" t="n"/>
    </row>
    <row r="63">
      <c r="A63" s="6" t="inlineStr">
        <is>
          <t>R</t>
        </is>
      </c>
      <c r="B63" s="8" t="n">
        <v>46.3</v>
      </c>
      <c r="C63" s="5" t="n">
        <v>38.3</v>
      </c>
      <c r="D63" s="5" t="n">
        <v>31.6</v>
      </c>
      <c r="E63" s="5" t="n">
        <v>31.5</v>
      </c>
      <c r="F63" s="5" t="n">
        <v>30.9</v>
      </c>
      <c r="G63" s="5" t="n">
        <v>30.9</v>
      </c>
      <c r="H63" s="5" t="n">
        <v>27.9</v>
      </c>
      <c r="I63" s="5" t="n">
        <v>29.6</v>
      </c>
      <c r="J63" s="5" t="n">
        <v>30</v>
      </c>
      <c r="K63" s="5" t="n">
        <v>26.8</v>
      </c>
      <c r="L63" s="5" t="n">
        <v>25.3</v>
      </c>
      <c r="M63" s="5" t="n">
        <v>19.3</v>
      </c>
      <c r="N63" s="5" t="n">
        <v>18.9</v>
      </c>
      <c r="O63" s="5" t="n">
        <v>15.9</v>
      </c>
      <c r="P63" s="5" t="n">
        <v>17.6</v>
      </c>
      <c r="Q63" s="5" t="n">
        <v>17.6</v>
      </c>
      <c r="R63" s="5" t="n">
        <v>11.2</v>
      </c>
      <c r="S63" s="5" t="n">
        <v>5.2</v>
      </c>
      <c r="T63" s="7" t="n">
        <v>0</v>
      </c>
      <c r="U63" s="5" t="n">
        <v>17.2</v>
      </c>
      <c r="V63" s="5" t="n">
        <v>12.7</v>
      </c>
      <c r="W63" s="5" t="n">
        <v>21.3</v>
      </c>
      <c r="X63" s="5" t="n">
        <v>28.2</v>
      </c>
      <c r="Y63" s="5" t="n">
        <v>24</v>
      </c>
      <c r="Z63" s="5" t="n">
        <v>21</v>
      </c>
      <c r="AA63" s="5" t="n">
        <v>19.4</v>
      </c>
      <c r="AC63" s="30" t="n"/>
    </row>
    <row r="64">
      <c r="A64" s="6" t="inlineStr">
        <is>
          <t>S</t>
        </is>
      </c>
      <c r="B64" s="8" t="n">
        <v>40.4</v>
      </c>
      <c r="C64" s="5" t="n">
        <v>33.1</v>
      </c>
      <c r="D64" s="5" t="n">
        <v>26.4</v>
      </c>
      <c r="E64" s="5" t="n">
        <v>26.2</v>
      </c>
      <c r="F64" s="5" t="n">
        <v>26.9</v>
      </c>
      <c r="G64" s="5" t="n">
        <v>25.7</v>
      </c>
      <c r="H64" s="5" t="n">
        <v>22.7</v>
      </c>
      <c r="I64" s="5" t="n">
        <v>24.4</v>
      </c>
      <c r="J64" s="5" t="n">
        <v>24.8</v>
      </c>
      <c r="K64" s="5" t="n">
        <v>21.2</v>
      </c>
      <c r="L64" s="5" t="n">
        <v>19.8</v>
      </c>
      <c r="M64" s="5" t="n">
        <v>13.4</v>
      </c>
      <c r="N64" s="5" t="n">
        <v>13.3</v>
      </c>
      <c r="O64" s="5" t="n">
        <v>10</v>
      </c>
      <c r="P64" s="5" t="n">
        <v>12.1</v>
      </c>
      <c r="Q64" s="5" t="n">
        <v>12.1</v>
      </c>
      <c r="R64" s="5" t="n">
        <v>2</v>
      </c>
      <c r="S64" s="5" t="n">
        <v>8.1</v>
      </c>
      <c r="T64" s="5" t="n">
        <v>17.2</v>
      </c>
      <c r="U64" s="7" t="n">
        <v>0</v>
      </c>
      <c r="V64" s="5" t="n">
        <v>9.5</v>
      </c>
      <c r="W64" s="5" t="n">
        <v>16.5</v>
      </c>
      <c r="X64" s="5" t="n">
        <v>22.3</v>
      </c>
      <c r="Y64" s="5" t="n">
        <v>21.1</v>
      </c>
      <c r="Z64" s="5" t="n">
        <v>18.2</v>
      </c>
      <c r="AA64" s="5" t="n">
        <v>16.6</v>
      </c>
      <c r="AC64" s="30" t="n"/>
    </row>
    <row r="65">
      <c r="A65" s="6" t="inlineStr">
        <is>
          <t>T</t>
        </is>
      </c>
      <c r="B65" s="8" t="n">
        <v>45.1</v>
      </c>
      <c r="C65" s="5" t="n">
        <v>37.8</v>
      </c>
      <c r="D65" s="5" t="n">
        <v>31.1</v>
      </c>
      <c r="E65" s="5" t="n">
        <v>30.9</v>
      </c>
      <c r="F65" s="5" t="n">
        <v>30.4</v>
      </c>
      <c r="G65" s="5" t="n">
        <v>30.4</v>
      </c>
      <c r="H65" s="5" t="n">
        <v>27.4</v>
      </c>
      <c r="I65" s="5" t="n">
        <v>29.1</v>
      </c>
      <c r="J65" s="5" t="n">
        <v>29.5</v>
      </c>
      <c r="K65" s="5" t="n">
        <v>26.2</v>
      </c>
      <c r="L65" s="5" t="n">
        <v>24.5</v>
      </c>
      <c r="M65" s="5" t="n">
        <v>18.1</v>
      </c>
      <c r="N65" s="5" t="n">
        <v>18</v>
      </c>
      <c r="O65" s="5" t="n">
        <v>14.7</v>
      </c>
      <c r="P65" s="5" t="n">
        <v>16.8</v>
      </c>
      <c r="Q65" s="5" t="n">
        <v>16.8</v>
      </c>
      <c r="R65" s="5" t="n">
        <v>6.7</v>
      </c>
      <c r="S65" s="5" t="n">
        <v>12.3</v>
      </c>
      <c r="T65" s="5" t="n">
        <v>12.7</v>
      </c>
      <c r="U65" s="5" t="n">
        <v>9.5</v>
      </c>
      <c r="V65" s="7" t="n">
        <v>0</v>
      </c>
      <c r="W65" s="5" t="n">
        <v>28.2</v>
      </c>
      <c r="X65" s="5" t="n">
        <v>27.9</v>
      </c>
      <c r="Y65" s="5" t="n">
        <v>28</v>
      </c>
      <c r="Z65" s="5" t="n">
        <v>11</v>
      </c>
      <c r="AA65" s="5" t="n">
        <v>26.4</v>
      </c>
      <c r="AC65" s="30" t="n"/>
    </row>
    <row r="66">
      <c r="A66" s="6" t="inlineStr">
        <is>
          <t>U</t>
        </is>
      </c>
      <c r="B66" s="8" t="n">
        <v>25.1</v>
      </c>
      <c r="C66" s="5" t="n">
        <v>17.8</v>
      </c>
      <c r="D66" s="5" t="n">
        <v>11.7</v>
      </c>
      <c r="E66" s="5" t="n">
        <v>10.3</v>
      </c>
      <c r="F66" s="5" t="n">
        <v>11</v>
      </c>
      <c r="G66" s="5" t="n">
        <v>11</v>
      </c>
      <c r="H66" s="5" t="n">
        <v>10.2</v>
      </c>
      <c r="I66" s="5" t="n">
        <v>12</v>
      </c>
      <c r="J66" s="5" t="n">
        <v>12.4</v>
      </c>
      <c r="K66" s="5" t="n">
        <v>8.300000000000001</v>
      </c>
      <c r="L66" s="5" t="n">
        <v>7.6</v>
      </c>
      <c r="M66" s="5" t="n">
        <v>9.800000000000001</v>
      </c>
      <c r="N66" s="5" t="n">
        <v>5.6</v>
      </c>
      <c r="O66" s="5" t="n">
        <v>8.699999999999999</v>
      </c>
      <c r="P66" s="5" t="n">
        <v>6.8</v>
      </c>
      <c r="Q66" s="5" t="n">
        <v>6.8</v>
      </c>
      <c r="R66" s="5" t="n">
        <v>14.5</v>
      </c>
      <c r="S66" s="5" t="n">
        <v>16.5</v>
      </c>
      <c r="T66" s="5" t="n">
        <v>21.3</v>
      </c>
      <c r="U66" s="5" t="n">
        <v>16.5</v>
      </c>
      <c r="V66" s="5" t="n">
        <v>28.2</v>
      </c>
      <c r="W66" s="7" t="n">
        <v>0</v>
      </c>
      <c r="X66" s="5" t="n">
        <v>8</v>
      </c>
      <c r="Y66" s="5" t="n">
        <v>8.5</v>
      </c>
      <c r="Z66" s="5" t="n">
        <v>7.5</v>
      </c>
      <c r="AA66" s="5" t="n">
        <v>3.5</v>
      </c>
      <c r="AC66" s="30" t="n"/>
    </row>
    <row r="67">
      <c r="A67" s="6" t="inlineStr">
        <is>
          <t>V</t>
        </is>
      </c>
      <c r="B67" s="8" t="n">
        <v>19.3</v>
      </c>
      <c r="C67" s="5" t="n">
        <v>12</v>
      </c>
      <c r="D67" s="5" t="n">
        <v>5.6</v>
      </c>
      <c r="E67" s="5" t="n">
        <v>5.1</v>
      </c>
      <c r="F67" s="5" t="n">
        <v>4.9</v>
      </c>
      <c r="G67" s="5" t="n">
        <v>4.9</v>
      </c>
      <c r="H67" s="5" t="n">
        <v>4.9</v>
      </c>
      <c r="I67" s="5" t="n">
        <v>6.6</v>
      </c>
      <c r="J67" s="5" t="n">
        <v>6.9</v>
      </c>
      <c r="K67" s="5" t="n">
        <v>1.1</v>
      </c>
      <c r="L67" s="5" t="n">
        <v>5.1</v>
      </c>
      <c r="M67" s="5" t="n">
        <v>14.9</v>
      </c>
      <c r="N67" s="5" t="n">
        <v>9.4</v>
      </c>
      <c r="O67" s="5" t="n">
        <v>13.6</v>
      </c>
      <c r="P67" s="5" t="n">
        <v>10</v>
      </c>
      <c r="Q67" s="5" t="n">
        <v>11.1</v>
      </c>
      <c r="R67" s="5" t="n">
        <v>20.3</v>
      </c>
      <c r="S67" s="5" t="n">
        <v>24.5</v>
      </c>
      <c r="T67" s="5" t="n">
        <v>28.2</v>
      </c>
      <c r="U67" s="5" t="n">
        <v>22.3</v>
      </c>
      <c r="V67" s="5" t="n">
        <v>27.9</v>
      </c>
      <c r="W67" s="5" t="n">
        <v>8</v>
      </c>
      <c r="X67" s="7" t="n">
        <v>0</v>
      </c>
      <c r="Y67" s="5" t="n">
        <v>14.4</v>
      </c>
      <c r="Z67" s="5" t="n">
        <v>13.7</v>
      </c>
      <c r="AA67" s="5" t="n">
        <v>11.6</v>
      </c>
      <c r="AC67" s="30" t="n"/>
    </row>
    <row r="68">
      <c r="A68" s="6" t="inlineStr">
        <is>
          <t>W</t>
        </is>
      </c>
      <c r="B68" s="8" t="n">
        <v>29</v>
      </c>
      <c r="C68" s="5" t="n">
        <v>21.6</v>
      </c>
      <c r="D68" s="5" t="n">
        <v>18.9</v>
      </c>
      <c r="E68" s="5" t="n">
        <v>16</v>
      </c>
      <c r="F68" s="5" t="n">
        <v>18.2</v>
      </c>
      <c r="G68" s="5" t="n">
        <v>16</v>
      </c>
      <c r="H68" s="5" t="n">
        <v>15.2</v>
      </c>
      <c r="I68" s="5" t="n">
        <v>16.9</v>
      </c>
      <c r="J68" s="5" t="n">
        <v>17.3</v>
      </c>
      <c r="K68" s="5" t="n">
        <v>13</v>
      </c>
      <c r="L68" s="5" t="n">
        <v>15.7</v>
      </c>
      <c r="M68" s="5" t="n">
        <v>18.9</v>
      </c>
      <c r="N68" s="5" t="n">
        <v>14.9</v>
      </c>
      <c r="O68" s="5" t="n">
        <v>14.1</v>
      </c>
      <c r="P68" s="5" t="n">
        <v>13.6</v>
      </c>
      <c r="Q68" s="5" t="n">
        <v>13.6</v>
      </c>
      <c r="R68" s="5" t="n">
        <v>19.2</v>
      </c>
      <c r="S68" s="5" t="n">
        <v>23</v>
      </c>
      <c r="T68" s="5" t="n">
        <v>24</v>
      </c>
      <c r="U68" s="5" t="n">
        <v>21.1</v>
      </c>
      <c r="V68" s="5" t="n">
        <v>28</v>
      </c>
      <c r="W68" s="5" t="n">
        <v>8.5</v>
      </c>
      <c r="X68" s="5" t="n">
        <v>14.4</v>
      </c>
      <c r="Y68" s="7" t="n">
        <v>0</v>
      </c>
      <c r="Z68" s="5" t="n">
        <v>3.3</v>
      </c>
      <c r="AA68" s="5" t="n">
        <v>8</v>
      </c>
      <c r="AC68" s="30" t="n"/>
    </row>
    <row r="69">
      <c r="A69" s="6" t="inlineStr">
        <is>
          <t>X</t>
        </is>
      </c>
      <c r="B69" s="8" t="n">
        <v>27.9</v>
      </c>
      <c r="C69" s="5" t="n">
        <v>20.9</v>
      </c>
      <c r="D69" s="5" t="n">
        <v>16.6</v>
      </c>
      <c r="E69" s="5" t="n">
        <v>14.4</v>
      </c>
      <c r="F69" s="5" t="n">
        <v>15.9</v>
      </c>
      <c r="G69" s="5" t="n">
        <v>15.9</v>
      </c>
      <c r="H69" s="5" t="n">
        <v>15.1</v>
      </c>
      <c r="I69" s="5" t="n">
        <v>16.9</v>
      </c>
      <c r="J69" s="5" t="n">
        <v>17.2</v>
      </c>
      <c r="K69" s="5" t="n">
        <v>12.9</v>
      </c>
      <c r="L69" s="5" t="n">
        <v>18.4</v>
      </c>
      <c r="M69" s="5" t="n">
        <v>12</v>
      </c>
      <c r="N69" s="5" t="n">
        <v>11.9</v>
      </c>
      <c r="O69" s="5" t="n">
        <v>11.1</v>
      </c>
      <c r="P69" s="5" t="n">
        <v>10.7</v>
      </c>
      <c r="Q69" s="5" t="n">
        <v>10.7</v>
      </c>
      <c r="R69" s="5" t="n">
        <v>16.2</v>
      </c>
      <c r="S69" s="5" t="n">
        <v>14</v>
      </c>
      <c r="T69" s="5" t="n">
        <v>21</v>
      </c>
      <c r="U69" s="5" t="n">
        <v>18.2</v>
      </c>
      <c r="V69" s="5" t="n">
        <v>11</v>
      </c>
      <c r="W69" s="5" t="n">
        <v>7.5</v>
      </c>
      <c r="X69" s="5" t="n">
        <v>13.7</v>
      </c>
      <c r="Y69" s="5" t="n">
        <v>3.3</v>
      </c>
      <c r="Z69" s="7" t="n">
        <v>0</v>
      </c>
      <c r="AA69" s="5" t="n">
        <v>5.5</v>
      </c>
      <c r="AC69" s="30" t="n"/>
    </row>
    <row r="70">
      <c r="A70" s="6" t="inlineStr">
        <is>
          <t>Y</t>
        </is>
      </c>
      <c r="B70" s="8" t="n">
        <v>26.9</v>
      </c>
      <c r="C70" s="5" t="n">
        <v>19.6</v>
      </c>
      <c r="D70" s="5" t="n">
        <v>15.7</v>
      </c>
      <c r="E70" s="5" t="n">
        <v>12.8</v>
      </c>
      <c r="F70" s="5" t="n">
        <v>14.3</v>
      </c>
      <c r="G70" s="5" t="n">
        <v>15</v>
      </c>
      <c r="H70" s="5" t="n">
        <v>12.8</v>
      </c>
      <c r="I70" s="5" t="n">
        <v>14.5</v>
      </c>
      <c r="J70" s="5" t="n">
        <v>14.8</v>
      </c>
      <c r="K70" s="5" t="n">
        <v>10.8</v>
      </c>
      <c r="L70" s="5" t="n">
        <v>10.2</v>
      </c>
      <c r="M70" s="5" t="n">
        <v>9.699999999999999</v>
      </c>
      <c r="N70" s="5" t="n">
        <v>10.3</v>
      </c>
      <c r="O70" s="5" t="n">
        <v>8.9</v>
      </c>
      <c r="P70" s="5" t="n">
        <v>9.1</v>
      </c>
      <c r="Q70" s="5" t="n">
        <v>9.1</v>
      </c>
      <c r="R70" s="5" t="n">
        <v>14.6</v>
      </c>
      <c r="S70" s="5" t="n">
        <v>13.7</v>
      </c>
      <c r="T70" s="5" t="n">
        <v>19.4</v>
      </c>
      <c r="U70" s="5" t="n">
        <v>16.6</v>
      </c>
      <c r="V70" s="5" t="n">
        <v>26.4</v>
      </c>
      <c r="W70" s="5" t="n">
        <v>3.5</v>
      </c>
      <c r="X70" s="5" t="n">
        <v>11.6</v>
      </c>
      <c r="Y70" s="5" t="n">
        <v>8</v>
      </c>
      <c r="Z70" s="5" t="n">
        <v>5.5</v>
      </c>
      <c r="AA70" s="7" t="n">
        <v>0</v>
      </c>
      <c r="AC70" s="30" t="n"/>
    </row>
    <row r="71">
      <c r="AC71" s="30" t="n"/>
    </row>
    <row r="72">
      <c r="AC72" s="30" t="n"/>
    </row>
    <row r="73">
      <c r="AC73" s="30" t="n"/>
    </row>
  </sheetData>
  <mergeCells count="7">
    <mergeCell ref="G2:I2"/>
    <mergeCell ref="A43:AA43"/>
    <mergeCell ref="R7:R8"/>
    <mergeCell ref="G3:I3"/>
    <mergeCell ref="K34:M34"/>
    <mergeCell ref="AV36:AX36"/>
    <mergeCell ref="U7:U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8"/>
  <sheetViews>
    <sheetView zoomScale="65" workbookViewId="0">
      <selection activeCell="N34" sqref="N34:X34"/>
    </sheetView>
  </sheetViews>
  <sheetFormatPr baseColWidth="8" defaultRowHeight="14.5"/>
  <cols>
    <col width="8.7265625" customWidth="1" min="3" max="3"/>
    <col width="15.26953125" customWidth="1" min="4" max="4"/>
    <col width="8.7265625" customWidth="1" min="5" max="5"/>
    <col width="12.7265625" customWidth="1" min="6" max="6"/>
  </cols>
  <sheetData>
    <row r="1" ht="14.5" customHeight="1">
      <c r="A1" s="32" t="n"/>
      <c r="B1" s="32" t="n"/>
      <c r="C1" s="32" t="n"/>
    </row>
    <row r="2" ht="14.5" customHeight="1">
      <c r="A2" s="32" t="n"/>
      <c r="B2" s="32" t="n"/>
      <c r="C2" s="32" t="n">
        <v>1</v>
      </c>
      <c r="D2" t="n">
        <v>2</v>
      </c>
      <c r="E2" t="n">
        <v>3</v>
      </c>
      <c r="F2" s="32" t="n">
        <v>4</v>
      </c>
      <c r="G2" s="32" t="n">
        <v>5</v>
      </c>
      <c r="H2" s="32" t="n">
        <v>6</v>
      </c>
      <c r="I2" s="32" t="n">
        <v>7</v>
      </c>
      <c r="J2" s="32" t="n">
        <v>8</v>
      </c>
      <c r="K2" s="32" t="n">
        <v>9</v>
      </c>
      <c r="L2" s="32" t="n">
        <v>10</v>
      </c>
      <c r="M2" s="32" t="n">
        <v>11</v>
      </c>
      <c r="N2" s="32" t="n">
        <v>12</v>
      </c>
      <c r="O2" s="32" t="n">
        <v>13</v>
      </c>
      <c r="P2" s="32" t="n">
        <v>14</v>
      </c>
      <c r="Q2" s="32" t="n">
        <v>15</v>
      </c>
      <c r="R2" s="32" t="n">
        <v>16</v>
      </c>
      <c r="S2" s="32" t="n">
        <v>17</v>
      </c>
      <c r="T2" s="32" t="n">
        <v>18</v>
      </c>
      <c r="U2" s="32" t="n">
        <v>9</v>
      </c>
      <c r="V2" s="32" t="n">
        <v>20</v>
      </c>
      <c r="W2" s="32" t="n">
        <v>1</v>
      </c>
      <c r="X2" s="32" t="n">
        <v>2</v>
      </c>
      <c r="Y2" s="32" t="n">
        <v>3</v>
      </c>
      <c r="Z2" s="32" t="n">
        <v>4</v>
      </c>
      <c r="AA2" s="32" t="n">
        <v>5</v>
      </c>
    </row>
    <row r="3" ht="14.5" customHeight="1">
      <c r="A3" s="145" t="inlineStr">
        <is>
          <t>TABEL OD MATRIX JARAK (KM)</t>
        </is>
      </c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4" t="n"/>
    </row>
    <row r="4">
      <c r="A4" s="4" t="n"/>
      <c r="B4" s="4" t="inlineStr">
        <is>
          <t>GUDANG</t>
        </is>
      </c>
      <c r="C4" s="4" t="inlineStr">
        <is>
          <t>A</t>
        </is>
      </c>
      <c r="D4" s="4" t="inlineStr">
        <is>
          <t>B</t>
        </is>
      </c>
      <c r="E4" s="4" t="inlineStr">
        <is>
          <t>C</t>
        </is>
      </c>
      <c r="F4" s="4" t="inlineStr">
        <is>
          <t>D</t>
        </is>
      </c>
      <c r="G4" s="4" t="inlineStr">
        <is>
          <t>E</t>
        </is>
      </c>
      <c r="H4" s="4" t="inlineStr">
        <is>
          <t>F</t>
        </is>
      </c>
      <c r="I4" s="4" t="inlineStr">
        <is>
          <t>G</t>
        </is>
      </c>
      <c r="J4" s="4" t="inlineStr">
        <is>
          <t>H</t>
        </is>
      </c>
      <c r="K4" s="4" t="inlineStr">
        <is>
          <t>I</t>
        </is>
      </c>
      <c r="L4" s="4" t="inlineStr">
        <is>
          <t>J</t>
        </is>
      </c>
      <c r="M4" s="4" t="inlineStr">
        <is>
          <t>K</t>
        </is>
      </c>
      <c r="N4" s="4" t="inlineStr">
        <is>
          <t>L</t>
        </is>
      </c>
      <c r="O4" s="4" t="inlineStr">
        <is>
          <t>M</t>
        </is>
      </c>
      <c r="P4" s="4" t="inlineStr">
        <is>
          <t>N</t>
        </is>
      </c>
      <c r="Q4" s="4" t="inlineStr">
        <is>
          <t>O</t>
        </is>
      </c>
      <c r="R4" s="4" t="inlineStr">
        <is>
          <t>P</t>
        </is>
      </c>
      <c r="S4" s="4" t="inlineStr">
        <is>
          <t>Q</t>
        </is>
      </c>
      <c r="T4" s="4" t="inlineStr">
        <is>
          <t>R</t>
        </is>
      </c>
      <c r="U4" s="4" t="inlineStr">
        <is>
          <t>S</t>
        </is>
      </c>
      <c r="V4" s="4" t="inlineStr">
        <is>
          <t>T</t>
        </is>
      </c>
      <c r="W4" s="4" t="inlineStr">
        <is>
          <t>U</t>
        </is>
      </c>
      <c r="X4" s="4" t="inlineStr">
        <is>
          <t>V</t>
        </is>
      </c>
      <c r="Y4" s="4" t="inlineStr">
        <is>
          <t>W</t>
        </is>
      </c>
      <c r="Z4" s="4" t="inlineStr">
        <is>
          <t>X</t>
        </is>
      </c>
      <c r="AA4" s="4" t="inlineStr">
        <is>
          <t>Y</t>
        </is>
      </c>
    </row>
    <row r="5">
      <c r="A5" s="6" t="inlineStr">
        <is>
          <t>GUDANG</t>
        </is>
      </c>
      <c r="B5" s="7" t="n">
        <v>0</v>
      </c>
      <c r="C5" s="8" t="n">
        <v>9.4</v>
      </c>
      <c r="D5" s="8" t="n">
        <v>15.3</v>
      </c>
      <c r="E5" s="8" t="n">
        <v>14.1</v>
      </c>
      <c r="F5" s="8" t="n">
        <v>14.5</v>
      </c>
      <c r="G5" s="8" t="n">
        <v>20</v>
      </c>
      <c r="H5" s="8" t="n">
        <v>25</v>
      </c>
      <c r="I5" s="8" t="n">
        <v>23</v>
      </c>
      <c r="J5" s="8" t="n">
        <v>19.2</v>
      </c>
      <c r="K5" s="8" t="n">
        <v>18.8</v>
      </c>
      <c r="L5" s="8" t="n">
        <v>24.9</v>
      </c>
      <c r="M5" s="8" t="n">
        <v>27.1</v>
      </c>
      <c r="N5" s="8" t="n">
        <v>27.6</v>
      </c>
      <c r="O5" s="8" t="n">
        <v>30.9</v>
      </c>
      <c r="P5" s="8" t="n">
        <v>28.3</v>
      </c>
      <c r="Q5" s="8" t="n">
        <v>25.5</v>
      </c>
      <c r="R5" s="8" t="n">
        <v>38</v>
      </c>
      <c r="S5" s="8" t="n">
        <v>40.4</v>
      </c>
      <c r="T5" s="8" t="n">
        <v>46.3</v>
      </c>
      <c r="U5" s="8" t="n">
        <v>40.4</v>
      </c>
      <c r="V5" s="8" t="n">
        <v>45.1</v>
      </c>
      <c r="W5" s="8" t="n">
        <v>25.1</v>
      </c>
      <c r="X5" s="8" t="n">
        <v>19.3</v>
      </c>
      <c r="Y5" s="8" t="n">
        <v>29</v>
      </c>
      <c r="Z5" s="8" t="n">
        <v>27.9</v>
      </c>
      <c r="AA5" s="8" t="n">
        <v>26.9</v>
      </c>
    </row>
    <row r="6">
      <c r="A6" s="6" t="inlineStr">
        <is>
          <t>A</t>
        </is>
      </c>
      <c r="B6" s="8" t="n">
        <v>9.4</v>
      </c>
      <c r="C6" s="7" t="n">
        <v>0</v>
      </c>
      <c r="D6" s="5" t="n">
        <v>8</v>
      </c>
      <c r="E6" s="5" t="n">
        <v>6.8</v>
      </c>
      <c r="F6" s="5" t="n">
        <v>7.2</v>
      </c>
      <c r="G6" s="5" t="n">
        <v>12.7</v>
      </c>
      <c r="H6" s="5" t="n">
        <v>13.2</v>
      </c>
      <c r="I6" s="5" t="n">
        <v>13.7</v>
      </c>
      <c r="J6" s="5" t="n">
        <v>10.8</v>
      </c>
      <c r="K6" s="5" t="n">
        <v>11.5</v>
      </c>
      <c r="L6" s="5" t="n">
        <v>16.7</v>
      </c>
      <c r="M6" s="5" t="n">
        <v>21.1</v>
      </c>
      <c r="N6" s="5" t="n">
        <v>21.8</v>
      </c>
      <c r="O6" s="5" t="n">
        <v>21</v>
      </c>
      <c r="P6" s="5" t="n">
        <v>23</v>
      </c>
      <c r="Q6" s="5" t="n">
        <v>18.2</v>
      </c>
      <c r="R6" s="5" t="n">
        <v>30.7</v>
      </c>
      <c r="S6" s="5" t="n">
        <v>33</v>
      </c>
      <c r="T6" s="5" t="n">
        <v>38.3</v>
      </c>
      <c r="U6" s="5" t="n">
        <v>33.1</v>
      </c>
      <c r="V6" s="5" t="n">
        <v>37.8</v>
      </c>
      <c r="W6" s="5" t="n">
        <v>17.8</v>
      </c>
      <c r="X6" s="5" t="n">
        <v>12</v>
      </c>
      <c r="Y6" s="5" t="n">
        <v>21.6</v>
      </c>
      <c r="Z6" s="5" t="n">
        <v>20.9</v>
      </c>
      <c r="AA6" s="5" t="n">
        <v>19.6</v>
      </c>
      <c r="AC6" t="n">
        <v>1</v>
      </c>
    </row>
    <row r="7">
      <c r="A7" s="6" t="inlineStr">
        <is>
          <t>B</t>
        </is>
      </c>
      <c r="B7" s="8" t="n">
        <v>15.3</v>
      </c>
      <c r="C7" s="5" t="n">
        <v>8</v>
      </c>
      <c r="D7" s="7" t="n">
        <v>0</v>
      </c>
      <c r="E7" s="5" t="n">
        <v>3.6</v>
      </c>
      <c r="F7" s="5" t="n">
        <v>1</v>
      </c>
      <c r="G7" s="5" t="n">
        <v>5.1</v>
      </c>
      <c r="H7" s="5" t="n">
        <v>5.6</v>
      </c>
      <c r="I7" s="5" t="n">
        <v>6.1</v>
      </c>
      <c r="J7" s="5" t="n">
        <v>5.3</v>
      </c>
      <c r="K7" s="5" t="n">
        <v>4.9</v>
      </c>
      <c r="L7" s="5" t="n">
        <v>9.800000000000001</v>
      </c>
      <c r="M7" s="5" t="n">
        <v>13.3</v>
      </c>
      <c r="N7" s="5" t="n">
        <v>13.8</v>
      </c>
      <c r="O7" s="5" t="n">
        <v>14.3</v>
      </c>
      <c r="P7" s="5" t="n">
        <v>14.3</v>
      </c>
      <c r="Q7" s="5" t="n">
        <v>11.7</v>
      </c>
      <c r="R7" s="5" t="n">
        <v>24.1</v>
      </c>
      <c r="S7" s="5" t="n">
        <v>26.4</v>
      </c>
      <c r="T7" s="5" t="n">
        <v>31.6</v>
      </c>
      <c r="U7" s="5" t="n">
        <v>26.4</v>
      </c>
      <c r="V7" s="5" t="n">
        <v>31.1</v>
      </c>
      <c r="W7" s="5" t="n">
        <v>11.7</v>
      </c>
      <c r="X7" s="5" t="n">
        <v>5.6</v>
      </c>
      <c r="Y7" s="5" t="n">
        <v>18.9</v>
      </c>
      <c r="Z7" s="5" t="n">
        <v>16.6</v>
      </c>
      <c r="AA7" s="5" t="n">
        <v>15.7</v>
      </c>
      <c r="AC7" t="n">
        <v>2</v>
      </c>
    </row>
    <row r="8">
      <c r="A8" s="6" t="inlineStr">
        <is>
          <t>C</t>
        </is>
      </c>
      <c r="B8" s="8" t="n">
        <v>14.1</v>
      </c>
      <c r="C8" s="5" t="n">
        <v>6.8</v>
      </c>
      <c r="D8" s="5" t="n">
        <v>3.6</v>
      </c>
      <c r="E8" s="7" t="n">
        <v>0</v>
      </c>
      <c r="F8" s="5" t="n">
        <v>2.9</v>
      </c>
      <c r="G8" s="5" t="n">
        <v>6.4</v>
      </c>
      <c r="H8" s="5" t="n">
        <v>6.9</v>
      </c>
      <c r="I8" s="5" t="n">
        <v>8.800000000000001</v>
      </c>
      <c r="J8" s="5" t="n">
        <v>8.9</v>
      </c>
      <c r="K8" s="5" t="n">
        <v>5.1</v>
      </c>
      <c r="L8" s="5" t="n">
        <v>10.3</v>
      </c>
      <c r="M8" s="5" t="n">
        <v>13.4</v>
      </c>
      <c r="N8" s="5" t="n">
        <v>13.9</v>
      </c>
      <c r="O8" s="5" t="n">
        <v>14.2</v>
      </c>
      <c r="P8" s="5" t="n">
        <v>14.2</v>
      </c>
      <c r="Q8" s="5" t="n">
        <v>11.8</v>
      </c>
      <c r="R8" s="5" t="n">
        <v>23.9</v>
      </c>
      <c r="S8" s="5" t="n">
        <v>26.2</v>
      </c>
      <c r="T8" s="5" t="n">
        <v>31.5</v>
      </c>
      <c r="U8" s="5" t="n">
        <v>26.2</v>
      </c>
      <c r="V8" s="5" t="n">
        <v>30.9</v>
      </c>
      <c r="W8" s="5" t="n">
        <v>10.3</v>
      </c>
      <c r="X8" s="5" t="n">
        <v>5.1</v>
      </c>
      <c r="Y8" s="5" t="n">
        <v>16</v>
      </c>
      <c r="Z8" s="5" t="n">
        <v>14.4</v>
      </c>
      <c r="AA8" s="5" t="n">
        <v>12.8</v>
      </c>
      <c r="AC8" t="n">
        <v>3</v>
      </c>
    </row>
    <row r="9">
      <c r="A9" s="6" t="inlineStr">
        <is>
          <t>D</t>
        </is>
      </c>
      <c r="B9" s="8" t="n">
        <v>14.5</v>
      </c>
      <c r="C9" s="5" t="n">
        <v>7.2</v>
      </c>
      <c r="D9" s="5" t="n">
        <v>1</v>
      </c>
      <c r="E9" s="5" t="n">
        <v>2.9</v>
      </c>
      <c r="F9" s="7" t="n">
        <v>0</v>
      </c>
      <c r="G9" s="5" t="n">
        <v>4.7</v>
      </c>
      <c r="H9" s="5" t="n">
        <v>5.2</v>
      </c>
      <c r="I9" s="5" t="n">
        <v>7</v>
      </c>
      <c r="J9" s="5" t="n">
        <v>6.3</v>
      </c>
      <c r="K9" s="5" t="n">
        <v>4.2</v>
      </c>
      <c r="L9" s="5" t="n">
        <v>9.5</v>
      </c>
      <c r="M9" s="5" t="n">
        <v>12.5</v>
      </c>
      <c r="N9" s="5" t="n">
        <v>13.1</v>
      </c>
      <c r="O9" s="5" t="n">
        <v>13.6</v>
      </c>
      <c r="P9" s="5" t="n">
        <v>13.6</v>
      </c>
      <c r="Q9" s="5" t="n">
        <v>11</v>
      </c>
      <c r="R9" s="5" t="n">
        <v>23.4</v>
      </c>
      <c r="S9" s="5" t="n">
        <v>25.7</v>
      </c>
      <c r="T9" s="5" t="n">
        <v>30.9</v>
      </c>
      <c r="U9" s="5" t="n">
        <v>26.9</v>
      </c>
      <c r="V9" s="5" t="n">
        <v>30.4</v>
      </c>
      <c r="W9" s="5" t="n">
        <v>11</v>
      </c>
      <c r="X9" s="5" t="n">
        <v>4.9</v>
      </c>
      <c r="Y9" s="5" t="n">
        <v>18.2</v>
      </c>
      <c r="Z9" s="5" t="n">
        <v>15.9</v>
      </c>
      <c r="AA9" s="5" t="n">
        <v>14.3</v>
      </c>
      <c r="AC9" t="n">
        <v>4</v>
      </c>
    </row>
    <row r="10">
      <c r="A10" s="6" t="inlineStr">
        <is>
          <t>E</t>
        </is>
      </c>
      <c r="B10" s="8" t="n">
        <v>20</v>
      </c>
      <c r="C10" s="5" t="n">
        <v>12.7</v>
      </c>
      <c r="D10" s="5" t="n">
        <v>5.1</v>
      </c>
      <c r="E10" s="5" t="n">
        <v>6.4</v>
      </c>
      <c r="F10" s="5" t="n">
        <v>4.7</v>
      </c>
      <c r="G10" s="7" t="n">
        <v>0</v>
      </c>
      <c r="H10" s="5" t="n">
        <v>5.2</v>
      </c>
      <c r="I10" s="5" t="n">
        <v>7</v>
      </c>
      <c r="J10" s="5" t="n">
        <v>6.3</v>
      </c>
      <c r="K10" s="5" t="n">
        <v>4.2</v>
      </c>
      <c r="L10" s="5" t="n">
        <v>9.5</v>
      </c>
      <c r="M10" s="5" t="n">
        <v>12.5</v>
      </c>
      <c r="N10" s="5" t="n">
        <v>13.1</v>
      </c>
      <c r="O10" s="5" t="n">
        <v>13.6</v>
      </c>
      <c r="P10" s="5" t="n">
        <v>13.6</v>
      </c>
      <c r="Q10" s="5" t="n">
        <v>11</v>
      </c>
      <c r="R10" s="5" t="n">
        <v>23.4</v>
      </c>
      <c r="S10" s="5" t="n">
        <v>25.7</v>
      </c>
      <c r="T10" s="5" t="n">
        <v>30.9</v>
      </c>
      <c r="U10" s="5" t="n">
        <v>25.7</v>
      </c>
      <c r="V10" s="5" t="n">
        <v>30.4</v>
      </c>
      <c r="W10" s="5" t="n">
        <v>11</v>
      </c>
      <c r="X10" s="5" t="n">
        <v>4.9</v>
      </c>
      <c r="Y10" s="5" t="n">
        <v>16</v>
      </c>
      <c r="Z10" s="5" t="n">
        <v>15.9</v>
      </c>
      <c r="AA10" s="5" t="n">
        <v>15</v>
      </c>
      <c r="AC10" t="n">
        <v>5</v>
      </c>
    </row>
    <row r="11">
      <c r="A11" s="6" t="inlineStr">
        <is>
          <t>F</t>
        </is>
      </c>
      <c r="B11" s="8" t="n">
        <v>25</v>
      </c>
      <c r="C11" s="5" t="n">
        <v>13.2</v>
      </c>
      <c r="D11" s="5" t="n">
        <v>5.6</v>
      </c>
      <c r="E11" s="5" t="n">
        <v>6.9</v>
      </c>
      <c r="F11" s="5" t="n">
        <v>5.2</v>
      </c>
      <c r="G11" s="5" t="n">
        <v>5.2</v>
      </c>
      <c r="H11" s="7" t="n">
        <v>0</v>
      </c>
      <c r="I11" s="5" t="n">
        <v>2.7</v>
      </c>
      <c r="J11" s="5" t="n">
        <v>3</v>
      </c>
      <c r="K11" s="5" t="n">
        <v>3.8</v>
      </c>
      <c r="L11" s="5" t="n">
        <v>4.9</v>
      </c>
      <c r="M11" s="5" t="n">
        <v>9.6</v>
      </c>
      <c r="N11" s="5" t="n">
        <v>10.2</v>
      </c>
      <c r="O11" s="5" t="n">
        <v>10.7</v>
      </c>
      <c r="P11" s="5" t="n">
        <v>10.7</v>
      </c>
      <c r="Q11" s="5" t="n">
        <v>8.300000000000001</v>
      </c>
      <c r="R11" s="5" t="n">
        <v>20.4</v>
      </c>
      <c r="S11" s="5" t="n">
        <v>22.7</v>
      </c>
      <c r="T11" s="5" t="n">
        <v>27.9</v>
      </c>
      <c r="U11" s="5" t="n">
        <v>22.7</v>
      </c>
      <c r="V11" s="5" t="n">
        <v>27.4</v>
      </c>
      <c r="W11" s="5" t="n">
        <v>10.2</v>
      </c>
      <c r="X11" s="5" t="n">
        <v>4.9</v>
      </c>
      <c r="Y11" s="5" t="n">
        <v>15.2</v>
      </c>
      <c r="Z11" s="5" t="n">
        <v>15.1</v>
      </c>
      <c r="AA11" s="5" t="n">
        <v>12.8</v>
      </c>
      <c r="AC11" t="n">
        <v>6</v>
      </c>
    </row>
    <row r="12">
      <c r="A12" s="6" t="inlineStr">
        <is>
          <t>G</t>
        </is>
      </c>
      <c r="B12" s="8" t="n">
        <v>23</v>
      </c>
      <c r="C12" s="5" t="n">
        <v>13.7</v>
      </c>
      <c r="D12" s="5" t="n">
        <v>6.1</v>
      </c>
      <c r="E12" s="5" t="n">
        <v>8.800000000000001</v>
      </c>
      <c r="F12" s="5" t="n">
        <v>7</v>
      </c>
      <c r="G12" s="5" t="n">
        <v>7</v>
      </c>
      <c r="H12" s="5" t="n">
        <v>2.7</v>
      </c>
      <c r="I12" s="7" t="n">
        <v>0</v>
      </c>
      <c r="J12" s="5" t="n">
        <v>3</v>
      </c>
      <c r="K12" s="5" t="n">
        <v>5.5</v>
      </c>
      <c r="L12" s="5" t="n">
        <v>5</v>
      </c>
      <c r="M12" s="5" t="n">
        <v>11.3</v>
      </c>
      <c r="N12" s="5" t="n">
        <v>11.8</v>
      </c>
      <c r="O12" s="5" t="n">
        <v>12.3</v>
      </c>
      <c r="P12" s="5" t="n">
        <v>12.3</v>
      </c>
      <c r="Q12" s="5" t="n">
        <v>10</v>
      </c>
      <c r="R12" s="5" t="n">
        <v>22.1</v>
      </c>
      <c r="S12" s="5" t="n">
        <v>24.4</v>
      </c>
      <c r="T12" s="5" t="n">
        <v>29.6</v>
      </c>
      <c r="U12" s="5" t="n">
        <v>24.4</v>
      </c>
      <c r="V12" s="5" t="n">
        <v>29.1</v>
      </c>
      <c r="W12" s="5" t="n">
        <v>12</v>
      </c>
      <c r="X12" s="5" t="n">
        <v>6.6</v>
      </c>
      <c r="Y12" s="5" t="n">
        <v>16.9</v>
      </c>
      <c r="Z12" s="5" t="n">
        <v>16.9</v>
      </c>
      <c r="AA12" s="5" t="n">
        <v>14.5</v>
      </c>
      <c r="AC12" t="n">
        <v>7</v>
      </c>
    </row>
    <row r="13">
      <c r="A13" s="6" t="inlineStr">
        <is>
          <t>H</t>
        </is>
      </c>
      <c r="B13" s="8" t="n">
        <v>19.2</v>
      </c>
      <c r="C13" s="5" t="n">
        <v>10.8</v>
      </c>
      <c r="D13" s="5" t="n">
        <v>5.3</v>
      </c>
      <c r="E13" s="5" t="n">
        <v>8.9</v>
      </c>
      <c r="F13" s="5" t="n">
        <v>6.3</v>
      </c>
      <c r="G13" s="5" t="n">
        <v>6.3</v>
      </c>
      <c r="H13" s="5" t="n">
        <v>3</v>
      </c>
      <c r="I13" s="5" t="n">
        <v>3</v>
      </c>
      <c r="J13" s="7" t="n">
        <v>0</v>
      </c>
      <c r="K13" s="5" t="n">
        <v>5.9</v>
      </c>
      <c r="L13" s="5" t="n">
        <v>7.4</v>
      </c>
      <c r="M13" s="5" t="n">
        <v>11.7</v>
      </c>
      <c r="N13" s="5" t="n">
        <v>12.2</v>
      </c>
      <c r="O13" s="5" t="n">
        <v>12.7</v>
      </c>
      <c r="P13" s="5" t="n">
        <v>12.7</v>
      </c>
      <c r="Q13" s="5" t="n">
        <v>10.3</v>
      </c>
      <c r="R13" s="5" t="n">
        <v>22.4</v>
      </c>
      <c r="S13" s="5" t="n">
        <v>24.7</v>
      </c>
      <c r="T13" s="5" t="n">
        <v>30</v>
      </c>
      <c r="U13" s="5" t="n">
        <v>24.8</v>
      </c>
      <c r="V13" s="5" t="n">
        <v>29.5</v>
      </c>
      <c r="W13" s="5" t="n">
        <v>12.4</v>
      </c>
      <c r="X13" s="5" t="n">
        <v>6.9</v>
      </c>
      <c r="Y13" s="5" t="n">
        <v>17.3</v>
      </c>
      <c r="Z13" s="5" t="n">
        <v>17.2</v>
      </c>
      <c r="AA13" s="5" t="n">
        <v>14.8</v>
      </c>
      <c r="AC13" t="n">
        <v>8</v>
      </c>
    </row>
    <row r="14">
      <c r="A14" s="6" t="inlineStr">
        <is>
          <t>I</t>
        </is>
      </c>
      <c r="B14" s="8" t="n">
        <v>18.8</v>
      </c>
      <c r="C14" s="5" t="n">
        <v>11.5</v>
      </c>
      <c r="D14" s="5" t="n">
        <v>4.9</v>
      </c>
      <c r="E14" s="5" t="n">
        <v>5.1</v>
      </c>
      <c r="F14" s="5" t="n">
        <v>4.2</v>
      </c>
      <c r="G14" s="5" t="n">
        <v>4.2</v>
      </c>
      <c r="H14" s="5" t="n">
        <v>3.8</v>
      </c>
      <c r="I14" s="5" t="n">
        <v>5.5</v>
      </c>
      <c r="J14" s="5" t="n">
        <v>5.9</v>
      </c>
      <c r="K14" s="7" t="n">
        <v>0</v>
      </c>
      <c r="L14" s="5" t="n">
        <v>5.3</v>
      </c>
      <c r="M14" s="5" t="n">
        <v>8.4</v>
      </c>
      <c r="N14" s="5" t="n">
        <v>8.9</v>
      </c>
      <c r="O14" s="5" t="n">
        <v>9.5</v>
      </c>
      <c r="P14" s="5" t="n">
        <v>9.4</v>
      </c>
      <c r="Q14" s="5" t="n">
        <v>6.8</v>
      </c>
      <c r="R14" s="5" t="n">
        <v>19.2</v>
      </c>
      <c r="S14" s="5" t="n">
        <v>21.5</v>
      </c>
      <c r="T14" s="5" t="n">
        <v>26.8</v>
      </c>
      <c r="U14" s="5" t="n">
        <v>21.2</v>
      </c>
      <c r="V14" s="5" t="n">
        <v>26.2</v>
      </c>
      <c r="W14" s="5" t="n">
        <v>8.300000000000001</v>
      </c>
      <c r="X14" s="5" t="n">
        <v>1.1</v>
      </c>
      <c r="Y14" s="5" t="n">
        <v>13</v>
      </c>
      <c r="Z14" s="5" t="n">
        <v>12.9</v>
      </c>
      <c r="AA14" s="5" t="n">
        <v>10.8</v>
      </c>
      <c r="AC14" t="n">
        <v>9</v>
      </c>
    </row>
    <row r="15">
      <c r="A15" s="6" t="inlineStr">
        <is>
          <t>J</t>
        </is>
      </c>
      <c r="B15" s="8" t="n">
        <v>24.9</v>
      </c>
      <c r="C15" s="5" t="n">
        <v>16.7</v>
      </c>
      <c r="D15" s="5" t="n">
        <v>9.800000000000001</v>
      </c>
      <c r="E15" s="5" t="n">
        <v>10.3</v>
      </c>
      <c r="F15" s="5" t="n">
        <v>9.5</v>
      </c>
      <c r="G15" s="5" t="n">
        <v>9.5</v>
      </c>
      <c r="H15" s="5" t="n">
        <v>4.9</v>
      </c>
      <c r="I15" s="5" t="n">
        <v>5</v>
      </c>
      <c r="J15" s="5" t="n">
        <v>7.4</v>
      </c>
      <c r="K15" s="5" t="n">
        <v>5.3</v>
      </c>
      <c r="L15" s="7" t="n">
        <v>0</v>
      </c>
      <c r="M15" s="5" t="n">
        <v>6.7</v>
      </c>
      <c r="N15" s="5" t="n">
        <v>7.2</v>
      </c>
      <c r="O15" s="5" t="n">
        <v>7.7</v>
      </c>
      <c r="P15" s="5" t="n">
        <v>8.1</v>
      </c>
      <c r="Q15" s="5" t="n">
        <v>5.4</v>
      </c>
      <c r="R15" s="5" t="n">
        <v>17.4</v>
      </c>
      <c r="S15" s="5" t="n">
        <v>20.1</v>
      </c>
      <c r="T15" s="5" t="n">
        <v>25.3</v>
      </c>
      <c r="U15" s="5" t="n">
        <v>19.8</v>
      </c>
      <c r="V15" s="5" t="n">
        <v>24.5</v>
      </c>
      <c r="W15" s="5" t="n">
        <v>7.6</v>
      </c>
      <c r="X15" s="5" t="n">
        <v>5.1</v>
      </c>
      <c r="Y15" s="5" t="n">
        <v>15.7</v>
      </c>
      <c r="Z15" s="5" t="n">
        <v>18.4</v>
      </c>
      <c r="AA15" s="5" t="n">
        <v>10.2</v>
      </c>
      <c r="AC15" t="n">
        <v>10</v>
      </c>
    </row>
    <row r="16">
      <c r="A16" s="6" t="inlineStr">
        <is>
          <t>K</t>
        </is>
      </c>
      <c r="B16" s="8" t="n">
        <v>27.1</v>
      </c>
      <c r="C16" s="5" t="n">
        <v>21.1</v>
      </c>
      <c r="D16" s="5" t="n">
        <v>13.3</v>
      </c>
      <c r="E16" s="5" t="n">
        <v>13.4</v>
      </c>
      <c r="F16" s="5" t="n">
        <v>12.5</v>
      </c>
      <c r="G16" s="5" t="n">
        <v>12.5</v>
      </c>
      <c r="H16" s="5" t="n">
        <v>9.6</v>
      </c>
      <c r="I16" s="5" t="n">
        <v>11.3</v>
      </c>
      <c r="J16" s="5" t="n">
        <v>11.7</v>
      </c>
      <c r="K16" s="5" t="n">
        <v>8.4</v>
      </c>
      <c r="L16" s="5" t="n">
        <v>6.7</v>
      </c>
      <c r="M16" s="7" t="n">
        <v>0</v>
      </c>
      <c r="N16" s="5" t="n">
        <v>1.2</v>
      </c>
      <c r="O16" s="5" t="n">
        <v>1.3</v>
      </c>
      <c r="P16" s="5" t="n">
        <v>1.5</v>
      </c>
      <c r="Q16" s="5" t="n">
        <v>2.3</v>
      </c>
      <c r="R16" s="5" t="n">
        <v>11</v>
      </c>
      <c r="S16" s="5" t="n">
        <v>13.7</v>
      </c>
      <c r="T16" s="5" t="n">
        <v>19.3</v>
      </c>
      <c r="U16" s="5" t="n">
        <v>13.4</v>
      </c>
      <c r="V16" s="5" t="n">
        <v>18.1</v>
      </c>
      <c r="W16" s="5" t="n">
        <v>9.800000000000001</v>
      </c>
      <c r="X16" s="5" t="n">
        <v>14.9</v>
      </c>
      <c r="Y16" s="5" t="n">
        <v>18.9</v>
      </c>
      <c r="Z16" s="5" t="n">
        <v>12</v>
      </c>
      <c r="AA16" s="5" t="n">
        <v>9.699999999999999</v>
      </c>
      <c r="AC16" t="n">
        <v>11</v>
      </c>
    </row>
    <row r="17">
      <c r="A17" s="6" t="inlineStr">
        <is>
          <t>L</t>
        </is>
      </c>
      <c r="B17" s="8" t="n">
        <v>27.6</v>
      </c>
      <c r="C17" s="5" t="n">
        <v>21.8</v>
      </c>
      <c r="D17" s="5" t="n">
        <v>13.8</v>
      </c>
      <c r="E17" s="5" t="n">
        <v>13.9</v>
      </c>
      <c r="F17" s="5" t="n">
        <v>13.1</v>
      </c>
      <c r="G17" s="5" t="n">
        <v>13.1</v>
      </c>
      <c r="H17" s="5" t="n">
        <v>10.2</v>
      </c>
      <c r="I17" s="5" t="n">
        <v>11.8</v>
      </c>
      <c r="J17" s="5" t="n">
        <v>12.2</v>
      </c>
      <c r="K17" s="5" t="n">
        <v>8.9</v>
      </c>
      <c r="L17" s="5" t="n">
        <v>7.2</v>
      </c>
      <c r="M17" s="5" t="n">
        <v>1.2</v>
      </c>
      <c r="N17" s="7" t="n">
        <v>0</v>
      </c>
      <c r="O17" s="5" t="n">
        <v>3.4</v>
      </c>
      <c r="P17" s="5" t="n">
        <v>1.7</v>
      </c>
      <c r="Q17" s="5" t="n">
        <v>2</v>
      </c>
      <c r="R17" s="5" t="n">
        <v>11</v>
      </c>
      <c r="S17" s="5" t="n">
        <v>14</v>
      </c>
      <c r="T17" s="5" t="n">
        <v>18.9</v>
      </c>
      <c r="U17" s="5" t="n">
        <v>13.3</v>
      </c>
      <c r="V17" s="5" t="n">
        <v>18</v>
      </c>
      <c r="W17" s="5" t="n">
        <v>5.6</v>
      </c>
      <c r="X17" s="5" t="n">
        <v>9.4</v>
      </c>
      <c r="Y17" s="5" t="n">
        <v>14.9</v>
      </c>
      <c r="Z17" s="5" t="n">
        <v>11.9</v>
      </c>
      <c r="AA17" s="5" t="n">
        <v>10.3</v>
      </c>
      <c r="AC17" t="n">
        <v>12</v>
      </c>
    </row>
    <row r="18">
      <c r="A18" s="6" t="inlineStr">
        <is>
          <t>M</t>
        </is>
      </c>
      <c r="B18" s="8" t="n">
        <v>30.9</v>
      </c>
      <c r="C18" s="5" t="n">
        <v>21</v>
      </c>
      <c r="D18" s="5" t="n">
        <v>14.3</v>
      </c>
      <c r="E18" s="5" t="n">
        <v>14.2</v>
      </c>
      <c r="F18" s="5" t="n">
        <v>13.6</v>
      </c>
      <c r="G18" s="5" t="n">
        <v>13.6</v>
      </c>
      <c r="H18" s="5" t="n">
        <v>10.7</v>
      </c>
      <c r="I18" s="5" t="n">
        <v>12.3</v>
      </c>
      <c r="J18" s="5" t="n">
        <v>12.7</v>
      </c>
      <c r="K18" s="5" t="n">
        <v>9.5</v>
      </c>
      <c r="L18" s="5" t="n">
        <v>7.7</v>
      </c>
      <c r="M18" s="5" t="n">
        <v>1.3</v>
      </c>
      <c r="N18" s="5" t="n">
        <v>3.4</v>
      </c>
      <c r="O18" s="7" t="n">
        <v>0</v>
      </c>
      <c r="P18" s="5" t="n">
        <v>3.2</v>
      </c>
      <c r="Q18" s="5" t="n">
        <v>5.4</v>
      </c>
      <c r="R18" s="5" t="n">
        <v>7.7</v>
      </c>
      <c r="S18" s="5" t="n">
        <v>10.2</v>
      </c>
      <c r="T18" s="5" t="n">
        <v>15.9</v>
      </c>
      <c r="U18" s="5" t="n">
        <v>10</v>
      </c>
      <c r="V18" s="5" t="n">
        <v>14.7</v>
      </c>
      <c r="W18" s="5" t="n">
        <v>8.699999999999999</v>
      </c>
      <c r="X18" s="5" t="n">
        <v>13.6</v>
      </c>
      <c r="Y18" s="5" t="n">
        <v>14.1</v>
      </c>
      <c r="Z18" s="5" t="n">
        <v>11.1</v>
      </c>
      <c r="AA18" s="5" t="n">
        <v>8.9</v>
      </c>
      <c r="AC18" t="n">
        <v>13</v>
      </c>
    </row>
    <row r="19">
      <c r="A19" s="6" t="inlineStr">
        <is>
          <t>N</t>
        </is>
      </c>
      <c r="B19" s="8" t="n">
        <v>28.3</v>
      </c>
      <c r="C19" s="5" t="n">
        <v>23</v>
      </c>
      <c r="D19" s="5" t="n">
        <v>14.3</v>
      </c>
      <c r="E19" s="5" t="n">
        <v>14.2</v>
      </c>
      <c r="F19" s="5" t="n">
        <v>13.6</v>
      </c>
      <c r="G19" s="5" t="n">
        <v>13.6</v>
      </c>
      <c r="H19" s="5" t="n">
        <v>10.7</v>
      </c>
      <c r="I19" s="5" t="n">
        <v>12.3</v>
      </c>
      <c r="J19" s="5" t="n">
        <v>12.7</v>
      </c>
      <c r="K19" s="5" t="n">
        <v>9.4</v>
      </c>
      <c r="L19" s="5" t="n">
        <v>8.1</v>
      </c>
      <c r="M19" s="5" t="n">
        <v>1.5</v>
      </c>
      <c r="N19" s="5" t="n">
        <v>1.7</v>
      </c>
      <c r="O19" s="5" t="n">
        <v>3.2</v>
      </c>
      <c r="P19" s="7" t="n">
        <v>0</v>
      </c>
      <c r="Q19" s="5" t="n">
        <v>2.9</v>
      </c>
      <c r="R19" s="5" t="n">
        <v>9.699999999999999</v>
      </c>
      <c r="S19" s="5" t="n">
        <v>12.4</v>
      </c>
      <c r="T19" s="5" t="n">
        <v>17.6</v>
      </c>
      <c r="U19" s="5" t="n">
        <v>12.1</v>
      </c>
      <c r="V19" s="5" t="n">
        <v>16.8</v>
      </c>
      <c r="W19" s="5" t="n">
        <v>6.8</v>
      </c>
      <c r="X19" s="5" t="n">
        <v>10</v>
      </c>
      <c r="Y19" s="5" t="n">
        <v>13.6</v>
      </c>
      <c r="Z19" s="5" t="n">
        <v>10.7</v>
      </c>
      <c r="AA19" s="5" t="n">
        <v>9.1</v>
      </c>
      <c r="AC19" t="n">
        <v>14</v>
      </c>
    </row>
    <row r="20">
      <c r="A20" s="6" t="inlineStr">
        <is>
          <t>O</t>
        </is>
      </c>
      <c r="B20" s="8" t="n">
        <v>25.5</v>
      </c>
      <c r="C20" s="5" t="n">
        <v>18.2</v>
      </c>
      <c r="D20" s="5" t="n">
        <v>11.7</v>
      </c>
      <c r="E20" s="5" t="n">
        <v>11.8</v>
      </c>
      <c r="F20" s="5" t="n">
        <v>11</v>
      </c>
      <c r="G20" s="5" t="n">
        <v>11</v>
      </c>
      <c r="H20" s="5" t="n">
        <v>8.300000000000001</v>
      </c>
      <c r="I20" s="5" t="n">
        <v>10</v>
      </c>
      <c r="J20" s="5" t="n">
        <v>10.3</v>
      </c>
      <c r="K20" s="5" t="n">
        <v>6.8</v>
      </c>
      <c r="L20" s="5" t="n">
        <v>5.4</v>
      </c>
      <c r="M20" s="5" t="n">
        <v>2.3</v>
      </c>
      <c r="N20" s="5" t="n">
        <v>2</v>
      </c>
      <c r="O20" s="5" t="n">
        <v>5.4</v>
      </c>
      <c r="P20" s="5" t="n">
        <v>2.9</v>
      </c>
      <c r="Q20" s="7" t="n">
        <v>0</v>
      </c>
      <c r="R20" s="5" t="n">
        <v>9.699999999999999</v>
      </c>
      <c r="S20" s="5" t="n">
        <v>12.4</v>
      </c>
      <c r="T20" s="5" t="n">
        <v>17.6</v>
      </c>
      <c r="U20" s="5" t="n">
        <v>12.1</v>
      </c>
      <c r="V20" s="5" t="n">
        <v>16.8</v>
      </c>
      <c r="W20" s="5" t="n">
        <v>6.8</v>
      </c>
      <c r="X20" s="5" t="n">
        <v>11.1</v>
      </c>
      <c r="Y20" s="5" t="n">
        <v>13.6</v>
      </c>
      <c r="Z20" s="5" t="n">
        <v>10.7</v>
      </c>
      <c r="AA20" s="5" t="n">
        <v>9.1</v>
      </c>
      <c r="AC20" t="n">
        <v>15</v>
      </c>
    </row>
    <row r="21">
      <c r="A21" s="6" t="inlineStr">
        <is>
          <t>P</t>
        </is>
      </c>
      <c r="B21" s="8" t="n">
        <v>38</v>
      </c>
      <c r="C21" s="5" t="n">
        <v>30.7</v>
      </c>
      <c r="D21" s="5" t="n">
        <v>24.1</v>
      </c>
      <c r="E21" s="5" t="n">
        <v>23.9</v>
      </c>
      <c r="F21" s="5" t="n">
        <v>23.4</v>
      </c>
      <c r="G21" s="5" t="n">
        <v>23.4</v>
      </c>
      <c r="H21" s="5" t="n">
        <v>20.4</v>
      </c>
      <c r="I21" s="5" t="n">
        <v>22.1</v>
      </c>
      <c r="J21" s="5" t="n">
        <v>22.4</v>
      </c>
      <c r="K21" s="5" t="n">
        <v>19.2</v>
      </c>
      <c r="L21" s="5" t="n">
        <v>17.4</v>
      </c>
      <c r="M21" s="5" t="n">
        <v>11</v>
      </c>
      <c r="N21" s="5" t="n">
        <v>11</v>
      </c>
      <c r="O21" s="5" t="n">
        <v>7.7</v>
      </c>
      <c r="P21" s="5" t="n">
        <v>9.699999999999999</v>
      </c>
      <c r="Q21" s="5" t="n">
        <v>9.699999999999999</v>
      </c>
      <c r="R21" s="7" t="n">
        <v>0</v>
      </c>
      <c r="S21" s="5" t="n">
        <v>6</v>
      </c>
      <c r="T21" s="5" t="n">
        <v>11.2</v>
      </c>
      <c r="U21" s="5" t="n">
        <v>2</v>
      </c>
      <c r="V21" s="5" t="n">
        <v>6.7</v>
      </c>
      <c r="W21" s="5" t="n">
        <v>14.5</v>
      </c>
      <c r="X21" s="5" t="n">
        <v>20.3</v>
      </c>
      <c r="Y21" s="5" t="n">
        <v>19.2</v>
      </c>
      <c r="Z21" s="5" t="n">
        <v>16.2</v>
      </c>
      <c r="AA21" s="5" t="n">
        <v>14.6</v>
      </c>
      <c r="AC21" t="n">
        <v>16</v>
      </c>
    </row>
    <row r="22">
      <c r="A22" s="6" t="inlineStr">
        <is>
          <t>Q</t>
        </is>
      </c>
      <c r="B22" s="8" t="n">
        <v>40.4</v>
      </c>
      <c r="C22" s="5" t="n">
        <v>33</v>
      </c>
      <c r="D22" s="5" t="n">
        <v>26.4</v>
      </c>
      <c r="E22" s="5" t="n">
        <v>26.2</v>
      </c>
      <c r="F22" s="5" t="n">
        <v>25.7</v>
      </c>
      <c r="G22" s="5" t="n">
        <v>25.7</v>
      </c>
      <c r="H22" s="5" t="n">
        <v>22.7</v>
      </c>
      <c r="I22" s="5" t="n">
        <v>24.4</v>
      </c>
      <c r="J22" s="5" t="n">
        <v>24.7</v>
      </c>
      <c r="K22" s="5" t="n">
        <v>21.5</v>
      </c>
      <c r="L22" s="5" t="n">
        <v>20.1</v>
      </c>
      <c r="M22" s="5" t="n">
        <v>13.7</v>
      </c>
      <c r="N22" s="5" t="n">
        <v>14</v>
      </c>
      <c r="O22" s="5" t="n">
        <v>10.2</v>
      </c>
      <c r="P22" s="5" t="n">
        <v>12.4</v>
      </c>
      <c r="Q22" s="5" t="n">
        <v>12.4</v>
      </c>
      <c r="R22" s="5" t="n">
        <v>6</v>
      </c>
      <c r="S22" s="7" t="n">
        <v>0</v>
      </c>
      <c r="T22" s="5" t="n">
        <v>5.2</v>
      </c>
      <c r="U22" s="5" t="n">
        <v>8.1</v>
      </c>
      <c r="V22" s="5" t="n">
        <v>12.3</v>
      </c>
      <c r="W22" s="5" t="n">
        <v>16.5</v>
      </c>
      <c r="X22" s="5" t="n">
        <v>24.5</v>
      </c>
      <c r="Y22" s="5" t="n">
        <v>23</v>
      </c>
      <c r="Z22" s="5" t="n">
        <v>14</v>
      </c>
      <c r="AA22" s="5" t="n">
        <v>13.7</v>
      </c>
      <c r="AC22" t="n">
        <v>17</v>
      </c>
    </row>
    <row r="23">
      <c r="A23" s="6" t="inlineStr">
        <is>
          <t>R</t>
        </is>
      </c>
      <c r="B23" s="8" t="n">
        <v>46.3</v>
      </c>
      <c r="C23" s="5" t="n">
        <v>38.3</v>
      </c>
      <c r="D23" s="5" t="n">
        <v>31.6</v>
      </c>
      <c r="E23" s="5" t="n">
        <v>31.5</v>
      </c>
      <c r="F23" s="5" t="n">
        <v>30.9</v>
      </c>
      <c r="G23" s="5" t="n">
        <v>30.9</v>
      </c>
      <c r="H23" s="5" t="n">
        <v>27.9</v>
      </c>
      <c r="I23" s="5" t="n">
        <v>29.6</v>
      </c>
      <c r="J23" s="5" t="n">
        <v>30</v>
      </c>
      <c r="K23" s="5" t="n">
        <v>26.8</v>
      </c>
      <c r="L23" s="5" t="n">
        <v>25.3</v>
      </c>
      <c r="M23" s="5" t="n">
        <v>19.3</v>
      </c>
      <c r="N23" s="5" t="n">
        <v>18.9</v>
      </c>
      <c r="O23" s="5" t="n">
        <v>15.9</v>
      </c>
      <c r="P23" s="5" t="n">
        <v>17.6</v>
      </c>
      <c r="Q23" s="5" t="n">
        <v>17.6</v>
      </c>
      <c r="R23" s="5" t="n">
        <v>11.2</v>
      </c>
      <c r="S23" s="5" t="n">
        <v>5.2</v>
      </c>
      <c r="T23" s="7" t="n">
        <v>0</v>
      </c>
      <c r="U23" s="5" t="n">
        <v>17.2</v>
      </c>
      <c r="V23" s="5" t="n">
        <v>12.7</v>
      </c>
      <c r="W23" s="5" t="n">
        <v>21.3</v>
      </c>
      <c r="X23" s="5" t="n">
        <v>28.2</v>
      </c>
      <c r="Y23" s="5" t="n">
        <v>24</v>
      </c>
      <c r="Z23" s="5" t="n">
        <v>21</v>
      </c>
      <c r="AA23" s="5" t="n">
        <v>19.4</v>
      </c>
      <c r="AC23" t="n">
        <v>18</v>
      </c>
    </row>
    <row r="24">
      <c r="A24" s="6" t="inlineStr">
        <is>
          <t>S</t>
        </is>
      </c>
      <c r="B24" s="8" t="n">
        <v>40.4</v>
      </c>
      <c r="C24" s="5" t="n">
        <v>33.1</v>
      </c>
      <c r="D24" s="5" t="n">
        <v>26.4</v>
      </c>
      <c r="E24" s="5" t="n">
        <v>26.2</v>
      </c>
      <c r="F24" s="5" t="n">
        <v>26.9</v>
      </c>
      <c r="G24" s="5" t="n">
        <v>25.7</v>
      </c>
      <c r="H24" s="5" t="n">
        <v>22.7</v>
      </c>
      <c r="I24" s="5" t="n">
        <v>24.4</v>
      </c>
      <c r="J24" s="5" t="n">
        <v>24.8</v>
      </c>
      <c r="K24" s="5" t="n">
        <v>21.2</v>
      </c>
      <c r="L24" s="5" t="n">
        <v>19.8</v>
      </c>
      <c r="M24" s="5" t="n">
        <v>13.4</v>
      </c>
      <c r="N24" s="5" t="n">
        <v>13.3</v>
      </c>
      <c r="O24" s="5" t="n">
        <v>10</v>
      </c>
      <c r="P24" s="5" t="n">
        <v>12.1</v>
      </c>
      <c r="Q24" s="5" t="n">
        <v>12.1</v>
      </c>
      <c r="R24" s="5" t="n">
        <v>2</v>
      </c>
      <c r="S24" s="5" t="n">
        <v>8.1</v>
      </c>
      <c r="T24" s="5" t="n">
        <v>17.2</v>
      </c>
      <c r="U24" s="7" t="n">
        <v>0</v>
      </c>
      <c r="V24" s="5" t="n">
        <v>9.5</v>
      </c>
      <c r="W24" s="5" t="n">
        <v>16.5</v>
      </c>
      <c r="X24" s="5" t="n">
        <v>22.3</v>
      </c>
      <c r="Y24" s="5" t="n">
        <v>21.1</v>
      </c>
      <c r="Z24" s="5" t="n">
        <v>18.2</v>
      </c>
      <c r="AA24" s="5" t="n">
        <v>16.6</v>
      </c>
      <c r="AC24" t="n">
        <v>19</v>
      </c>
    </row>
    <row r="25">
      <c r="A25" s="6" t="inlineStr">
        <is>
          <t>T</t>
        </is>
      </c>
      <c r="B25" s="8" t="n">
        <v>45.1</v>
      </c>
      <c r="C25" s="5" t="n">
        <v>37.8</v>
      </c>
      <c r="D25" s="5" t="n">
        <v>31.1</v>
      </c>
      <c r="E25" s="5" t="n">
        <v>30.9</v>
      </c>
      <c r="F25" s="5" t="n">
        <v>30.4</v>
      </c>
      <c r="G25" s="5" t="n">
        <v>30.4</v>
      </c>
      <c r="H25" s="5" t="n">
        <v>27.4</v>
      </c>
      <c r="I25" s="5" t="n">
        <v>29.1</v>
      </c>
      <c r="J25" s="5" t="n">
        <v>29.5</v>
      </c>
      <c r="K25" s="5" t="n">
        <v>26.2</v>
      </c>
      <c r="L25" s="5" t="n">
        <v>24.5</v>
      </c>
      <c r="M25" s="5" t="n">
        <v>18.1</v>
      </c>
      <c r="N25" s="5" t="n">
        <v>18</v>
      </c>
      <c r="O25" s="5" t="n">
        <v>14.7</v>
      </c>
      <c r="P25" s="5" t="n">
        <v>16.8</v>
      </c>
      <c r="Q25" s="5" t="n">
        <v>16.8</v>
      </c>
      <c r="R25" s="5" t="n">
        <v>6.7</v>
      </c>
      <c r="S25" s="5" t="n">
        <v>12.3</v>
      </c>
      <c r="T25" s="5" t="n">
        <v>12.7</v>
      </c>
      <c r="U25" s="5" t="n">
        <v>9.5</v>
      </c>
      <c r="V25" s="7" t="n">
        <v>0</v>
      </c>
      <c r="W25" s="5" t="n">
        <v>28.2</v>
      </c>
      <c r="X25" s="5" t="n">
        <v>27.9</v>
      </c>
      <c r="Y25" s="5" t="n">
        <v>28</v>
      </c>
      <c r="Z25" s="5" t="n">
        <v>11</v>
      </c>
      <c r="AA25" s="5" t="n">
        <v>26.4</v>
      </c>
      <c r="AC25" t="n">
        <v>20</v>
      </c>
    </row>
    <row r="26">
      <c r="A26" s="6" t="inlineStr">
        <is>
          <t>U</t>
        </is>
      </c>
      <c r="B26" s="8" t="n">
        <v>25.1</v>
      </c>
      <c r="C26" s="5" t="n">
        <v>17.8</v>
      </c>
      <c r="D26" s="5" t="n">
        <v>11.7</v>
      </c>
      <c r="E26" s="5" t="n">
        <v>10.3</v>
      </c>
      <c r="F26" s="5" t="n">
        <v>11</v>
      </c>
      <c r="G26" s="5" t="n">
        <v>11</v>
      </c>
      <c r="H26" s="5" t="n">
        <v>10.2</v>
      </c>
      <c r="I26" s="5" t="n">
        <v>12</v>
      </c>
      <c r="J26" s="5" t="n">
        <v>12.4</v>
      </c>
      <c r="K26" s="5" t="n">
        <v>8.300000000000001</v>
      </c>
      <c r="L26" s="5" t="n">
        <v>7.6</v>
      </c>
      <c r="M26" s="5" t="n">
        <v>9.800000000000001</v>
      </c>
      <c r="N26" s="5" t="n">
        <v>5.6</v>
      </c>
      <c r="O26" s="5" t="n">
        <v>8.699999999999999</v>
      </c>
      <c r="P26" s="5" t="n">
        <v>6.8</v>
      </c>
      <c r="Q26" s="5" t="n">
        <v>6.8</v>
      </c>
      <c r="R26" s="5" t="n">
        <v>14.5</v>
      </c>
      <c r="S26" s="5" t="n">
        <v>16.5</v>
      </c>
      <c r="T26" s="5" t="n">
        <v>21.3</v>
      </c>
      <c r="U26" s="5" t="n">
        <v>16.5</v>
      </c>
      <c r="V26" s="5" t="n">
        <v>28.2</v>
      </c>
      <c r="W26" s="7" t="n">
        <v>0</v>
      </c>
      <c r="X26" s="5" t="n">
        <v>8</v>
      </c>
      <c r="Y26" s="5" t="n">
        <v>8.5</v>
      </c>
      <c r="Z26" s="5" t="n">
        <v>7.5</v>
      </c>
      <c r="AA26" s="5" t="n">
        <v>3.5</v>
      </c>
      <c r="AC26" t="n">
        <v>21</v>
      </c>
    </row>
    <row r="27">
      <c r="A27" s="6" t="inlineStr">
        <is>
          <t>V</t>
        </is>
      </c>
      <c r="B27" s="8" t="n">
        <v>19.3</v>
      </c>
      <c r="C27" s="5" t="n">
        <v>12</v>
      </c>
      <c r="D27" s="5" t="n">
        <v>5.6</v>
      </c>
      <c r="E27" s="5" t="n">
        <v>5.1</v>
      </c>
      <c r="F27" s="5" t="n">
        <v>4.9</v>
      </c>
      <c r="G27" s="5" t="n">
        <v>4.9</v>
      </c>
      <c r="H27" s="5" t="n">
        <v>4.9</v>
      </c>
      <c r="I27" s="5" t="n">
        <v>6.6</v>
      </c>
      <c r="J27" s="5" t="n">
        <v>6.9</v>
      </c>
      <c r="K27" s="5" t="n">
        <v>1.1</v>
      </c>
      <c r="L27" s="5" t="n">
        <v>5.1</v>
      </c>
      <c r="M27" s="5" t="n">
        <v>14.9</v>
      </c>
      <c r="N27" s="5" t="n">
        <v>9.4</v>
      </c>
      <c r="O27" s="5" t="n">
        <v>13.6</v>
      </c>
      <c r="P27" s="5" t="n">
        <v>10</v>
      </c>
      <c r="Q27" s="5" t="n">
        <v>11.1</v>
      </c>
      <c r="R27" s="5" t="n">
        <v>20.3</v>
      </c>
      <c r="S27" s="5" t="n">
        <v>24.5</v>
      </c>
      <c r="T27" s="5" t="n">
        <v>28.2</v>
      </c>
      <c r="U27" s="5" t="n">
        <v>22.3</v>
      </c>
      <c r="V27" s="5" t="n">
        <v>27.9</v>
      </c>
      <c r="W27" s="5" t="n">
        <v>8</v>
      </c>
      <c r="X27" s="7" t="n">
        <v>0</v>
      </c>
      <c r="Y27" s="5" t="n">
        <v>14.4</v>
      </c>
      <c r="Z27" s="5" t="n">
        <v>13.7</v>
      </c>
      <c r="AA27" s="5" t="n">
        <v>11.6</v>
      </c>
      <c r="AC27" t="n">
        <v>22</v>
      </c>
    </row>
    <row r="28">
      <c r="A28" s="6" t="inlineStr">
        <is>
          <t>W</t>
        </is>
      </c>
      <c r="B28" s="8" t="n">
        <v>29</v>
      </c>
      <c r="C28" s="5" t="n">
        <v>21.6</v>
      </c>
      <c r="D28" s="5" t="n">
        <v>18.9</v>
      </c>
      <c r="E28" s="5" t="n">
        <v>16</v>
      </c>
      <c r="F28" s="5" t="n">
        <v>18.2</v>
      </c>
      <c r="G28" s="5" t="n">
        <v>16</v>
      </c>
      <c r="H28" s="5" t="n">
        <v>15.2</v>
      </c>
      <c r="I28" s="5" t="n">
        <v>16.9</v>
      </c>
      <c r="J28" s="5" t="n">
        <v>17.3</v>
      </c>
      <c r="K28" s="5" t="n">
        <v>13</v>
      </c>
      <c r="L28" s="5" t="n">
        <v>15.7</v>
      </c>
      <c r="M28" s="5" t="n">
        <v>18.9</v>
      </c>
      <c r="N28" s="5" t="n">
        <v>14.9</v>
      </c>
      <c r="O28" s="5" t="n">
        <v>14.1</v>
      </c>
      <c r="P28" s="5" t="n">
        <v>13.6</v>
      </c>
      <c r="Q28" s="5" t="n">
        <v>13.6</v>
      </c>
      <c r="R28" s="5" t="n">
        <v>19.2</v>
      </c>
      <c r="S28" s="5" t="n">
        <v>23</v>
      </c>
      <c r="T28" s="5" t="n">
        <v>24</v>
      </c>
      <c r="U28" s="5" t="n">
        <v>21.1</v>
      </c>
      <c r="V28" s="5" t="n">
        <v>28</v>
      </c>
      <c r="W28" s="5" t="n">
        <v>8.5</v>
      </c>
      <c r="X28" s="5" t="n">
        <v>14.4</v>
      </c>
      <c r="Y28" s="7" t="n">
        <v>0</v>
      </c>
      <c r="Z28" s="5" t="n">
        <v>3.3</v>
      </c>
      <c r="AA28" s="5" t="n">
        <v>8</v>
      </c>
      <c r="AC28" t="n">
        <v>23</v>
      </c>
    </row>
    <row r="29">
      <c r="A29" s="6" t="inlineStr">
        <is>
          <t>X</t>
        </is>
      </c>
      <c r="B29" s="8" t="n">
        <v>27.9</v>
      </c>
      <c r="C29" s="5" t="n">
        <v>20.9</v>
      </c>
      <c r="D29" s="5" t="n">
        <v>16.6</v>
      </c>
      <c r="E29" s="5" t="n">
        <v>14.4</v>
      </c>
      <c r="F29" s="5" t="n">
        <v>15.9</v>
      </c>
      <c r="G29" s="5" t="n">
        <v>15.9</v>
      </c>
      <c r="H29" s="5" t="n">
        <v>15.1</v>
      </c>
      <c r="I29" s="5" t="n">
        <v>16.9</v>
      </c>
      <c r="J29" s="5" t="n">
        <v>17.2</v>
      </c>
      <c r="K29" s="5" t="n">
        <v>12.9</v>
      </c>
      <c r="L29" s="5" t="n">
        <v>18.4</v>
      </c>
      <c r="M29" s="5" t="n">
        <v>12</v>
      </c>
      <c r="N29" s="5" t="n">
        <v>11.9</v>
      </c>
      <c r="O29" s="5" t="n">
        <v>11.1</v>
      </c>
      <c r="P29" s="5" t="n">
        <v>10.7</v>
      </c>
      <c r="Q29" s="5" t="n">
        <v>10.7</v>
      </c>
      <c r="R29" s="5" t="n">
        <v>16.2</v>
      </c>
      <c r="S29" s="5" t="n">
        <v>14</v>
      </c>
      <c r="T29" s="5" t="n">
        <v>21</v>
      </c>
      <c r="U29" s="5" t="n">
        <v>18.2</v>
      </c>
      <c r="V29" s="5" t="n">
        <v>11</v>
      </c>
      <c r="W29" s="5" t="n">
        <v>7.5</v>
      </c>
      <c r="X29" s="5" t="n">
        <v>13.7</v>
      </c>
      <c r="Y29" s="5" t="n">
        <v>3.3</v>
      </c>
      <c r="Z29" s="7" t="n">
        <v>0</v>
      </c>
      <c r="AA29" s="5" t="n">
        <v>5.5</v>
      </c>
      <c r="AC29" t="n">
        <v>24</v>
      </c>
    </row>
    <row r="30">
      <c r="A30" s="6" t="inlineStr">
        <is>
          <t>Y</t>
        </is>
      </c>
      <c r="B30" s="8" t="n">
        <v>26.9</v>
      </c>
      <c r="C30" s="5" t="n">
        <v>19.6</v>
      </c>
      <c r="D30" s="5" t="n">
        <v>15.7</v>
      </c>
      <c r="E30" s="5" t="n">
        <v>12.8</v>
      </c>
      <c r="F30" s="5" t="n">
        <v>14.3</v>
      </c>
      <c r="G30" s="5" t="n">
        <v>15</v>
      </c>
      <c r="H30" s="5" t="n">
        <v>12.8</v>
      </c>
      <c r="I30" s="5" t="n">
        <v>14.5</v>
      </c>
      <c r="J30" s="5" t="n">
        <v>14.8</v>
      </c>
      <c r="K30" s="5" t="n">
        <v>10.8</v>
      </c>
      <c r="L30" s="5" t="n">
        <v>10.2</v>
      </c>
      <c r="M30" s="5" t="n">
        <v>9.699999999999999</v>
      </c>
      <c r="N30" s="5" t="n">
        <v>10.3</v>
      </c>
      <c r="O30" s="5" t="n">
        <v>8.9</v>
      </c>
      <c r="P30" s="5" t="n">
        <v>9.1</v>
      </c>
      <c r="Q30" s="5" t="n">
        <v>9.1</v>
      </c>
      <c r="R30" s="5" t="n">
        <v>14.6</v>
      </c>
      <c r="S30" s="5" t="n">
        <v>13.7</v>
      </c>
      <c r="T30" s="5" t="n">
        <v>19.4</v>
      </c>
      <c r="U30" s="5" t="n">
        <v>16.6</v>
      </c>
      <c r="V30" s="5" t="n">
        <v>26.4</v>
      </c>
      <c r="W30" s="5" t="n">
        <v>3.5</v>
      </c>
      <c r="X30" s="5" t="n">
        <v>11.6</v>
      </c>
      <c r="Y30" s="5" t="n">
        <v>8</v>
      </c>
      <c r="Z30" s="5" t="n">
        <v>5.5</v>
      </c>
      <c r="AA30" s="7" t="n">
        <v>0</v>
      </c>
      <c r="AC30" t="n">
        <v>25</v>
      </c>
    </row>
    <row r="31">
      <c r="AC31" t="n">
        <v>26</v>
      </c>
    </row>
    <row r="33">
      <c r="A33" s="99" t="inlineStr">
        <is>
          <t>TRUK 1</t>
        </is>
      </c>
    </row>
    <row r="34" ht="43.5" customHeight="1">
      <c r="E34" s="33" t="inlineStr">
        <is>
          <t>RUTE TRUK 1</t>
        </is>
      </c>
      <c r="F34" s="97" t="inlineStr">
        <is>
          <t>GUDANG – D – E – F – G – H – I – U – V – W – X – Y – GUDANG</t>
        </is>
      </c>
      <c r="N34" s="36" t="inlineStr">
        <is>
          <t>RUTE TRUK 1 BARU</t>
        </is>
      </c>
      <c r="O34" s="98" t="inlineStr">
        <is>
          <t>GUDANG - D - I - G - H - F - W - X - Y - U - V - E - GUDANG</t>
        </is>
      </c>
      <c r="W34" s="37" t="inlineStr">
        <is>
          <t>TOTAL JARAK</t>
        </is>
      </c>
      <c r="X34" s="38">
        <f>SUM(F38,I42,L40,O40,R39,U41,X41,AA41,AD39,AG39,AJ38,G5)</f>
        <v/>
      </c>
    </row>
    <row r="35"/>
    <row r="37">
      <c r="E37" s="87" t="inlineStr">
        <is>
          <t>JARAK DARI GUDANG</t>
        </is>
      </c>
      <c r="F37" s="137" t="n"/>
      <c r="H37" s="87" t="inlineStr">
        <is>
          <t>D</t>
        </is>
      </c>
      <c r="I37" s="137" t="n"/>
      <c r="K37" s="87" t="inlineStr">
        <is>
          <t>I</t>
        </is>
      </c>
      <c r="L37" s="137" t="n"/>
      <c r="N37" s="87" t="inlineStr">
        <is>
          <t>G</t>
        </is>
      </c>
      <c r="O37" s="137" t="n"/>
      <c r="Q37" s="87" t="inlineStr">
        <is>
          <t>H</t>
        </is>
      </c>
      <c r="R37" s="137" t="n"/>
      <c r="T37" s="87" t="inlineStr">
        <is>
          <t>F</t>
        </is>
      </c>
      <c r="U37" s="137" t="n"/>
      <c r="W37" s="87" t="inlineStr">
        <is>
          <t>W</t>
        </is>
      </c>
      <c r="X37" s="137" t="n"/>
      <c r="Z37" s="87" t="inlineStr">
        <is>
          <t>X</t>
        </is>
      </c>
      <c r="AA37" s="137" t="n"/>
      <c r="AC37" s="87" t="inlineStr">
        <is>
          <t>Y</t>
        </is>
      </c>
      <c r="AD37" s="137" t="n"/>
      <c r="AF37" s="87" t="inlineStr">
        <is>
          <t>U</t>
        </is>
      </c>
      <c r="AG37" s="137" t="n"/>
      <c r="AI37" s="87" t="inlineStr">
        <is>
          <t>V</t>
        </is>
      </c>
      <c r="AJ37" s="137" t="n"/>
    </row>
    <row r="38">
      <c r="E38" s="34" t="inlineStr">
        <is>
          <t>D</t>
        </is>
      </c>
      <c r="F38" s="35">
        <f>B9</f>
        <v/>
      </c>
      <c r="H38" s="5" t="inlineStr">
        <is>
          <t>E</t>
        </is>
      </c>
      <c r="I38" s="8" t="n">
        <v>4.7</v>
      </c>
      <c r="K38" s="5" t="inlineStr">
        <is>
          <t>E</t>
        </is>
      </c>
      <c r="L38" s="8" t="n">
        <v>4.2</v>
      </c>
      <c r="N38" s="5" t="inlineStr">
        <is>
          <t>E</t>
        </is>
      </c>
      <c r="O38" s="8" t="n">
        <v>7</v>
      </c>
      <c r="Q38" s="5" t="inlineStr">
        <is>
          <t>E</t>
        </is>
      </c>
      <c r="R38" s="8" t="n">
        <v>6.3</v>
      </c>
      <c r="T38" s="5" t="inlineStr">
        <is>
          <t>E</t>
        </is>
      </c>
      <c r="U38" s="8" t="n">
        <v>5.2</v>
      </c>
      <c r="W38" s="5" t="inlineStr">
        <is>
          <t>E</t>
        </is>
      </c>
      <c r="X38" s="8" t="n">
        <v>16</v>
      </c>
      <c r="Z38" s="5" t="inlineStr">
        <is>
          <t>E</t>
        </is>
      </c>
      <c r="AA38" s="8" t="n">
        <v>15.9</v>
      </c>
      <c r="AC38" s="5" t="inlineStr">
        <is>
          <t>E</t>
        </is>
      </c>
      <c r="AD38" s="8" t="n">
        <v>15.9</v>
      </c>
      <c r="AF38" s="5" t="inlineStr">
        <is>
          <t>E</t>
        </is>
      </c>
      <c r="AG38" s="8" t="n">
        <v>11</v>
      </c>
      <c r="AI38" s="35" t="inlineStr">
        <is>
          <t>E</t>
        </is>
      </c>
      <c r="AJ38" s="35" t="n">
        <v>4.9</v>
      </c>
    </row>
    <row r="39">
      <c r="E39" s="5" t="inlineStr">
        <is>
          <t>E</t>
        </is>
      </c>
      <c r="F39" s="8">
        <f>B10</f>
        <v/>
      </c>
      <c r="H39" s="5" t="inlineStr">
        <is>
          <t>F</t>
        </is>
      </c>
      <c r="I39" s="8" t="n">
        <v>5.2</v>
      </c>
      <c r="K39" s="5" t="inlineStr">
        <is>
          <t>F</t>
        </is>
      </c>
      <c r="L39" s="8" t="n">
        <v>4.2</v>
      </c>
      <c r="N39" s="5" t="inlineStr">
        <is>
          <t>F</t>
        </is>
      </c>
      <c r="O39" s="8" t="n">
        <v>7</v>
      </c>
      <c r="Q39" s="34" t="inlineStr">
        <is>
          <t>F</t>
        </is>
      </c>
      <c r="R39" s="35" t="n">
        <v>3</v>
      </c>
      <c r="T39" s="5" t="inlineStr">
        <is>
          <t>U</t>
        </is>
      </c>
      <c r="U39" s="8" t="n">
        <v>27.4</v>
      </c>
      <c r="W39" s="5" t="inlineStr">
        <is>
          <t>U</t>
        </is>
      </c>
      <c r="X39" s="8" t="n">
        <v>8.5</v>
      </c>
      <c r="Z39" s="5" t="inlineStr">
        <is>
          <t>U</t>
        </is>
      </c>
      <c r="AA39" s="8" t="n">
        <v>7.5</v>
      </c>
      <c r="AC39" s="34" t="inlineStr">
        <is>
          <t>U</t>
        </is>
      </c>
      <c r="AD39" s="35" t="n">
        <v>3.5</v>
      </c>
      <c r="AF39" s="34" t="inlineStr">
        <is>
          <t>V</t>
        </is>
      </c>
      <c r="AG39" s="35" t="n">
        <v>8</v>
      </c>
    </row>
    <row r="40">
      <c r="E40" s="5" t="inlineStr">
        <is>
          <t>F</t>
        </is>
      </c>
      <c r="F40" s="8">
        <f>B11</f>
        <v/>
      </c>
      <c r="H40" s="5" t="inlineStr">
        <is>
          <t>G</t>
        </is>
      </c>
      <c r="I40" s="8" t="n">
        <v>7</v>
      </c>
      <c r="K40" s="34" t="inlineStr">
        <is>
          <t>G</t>
        </is>
      </c>
      <c r="L40" s="35" t="n">
        <v>3.8</v>
      </c>
      <c r="N40" s="34" t="inlineStr">
        <is>
          <t>H</t>
        </is>
      </c>
      <c r="O40" s="35" t="n">
        <v>3</v>
      </c>
      <c r="Q40" s="5" t="inlineStr">
        <is>
          <t>U</t>
        </is>
      </c>
      <c r="R40" s="8" t="n">
        <v>29.5</v>
      </c>
      <c r="T40" s="5" t="inlineStr">
        <is>
          <t>V</t>
        </is>
      </c>
      <c r="U40" s="8" t="n">
        <v>10.2</v>
      </c>
      <c r="W40" s="5" t="inlineStr">
        <is>
          <t>V</t>
        </is>
      </c>
      <c r="X40" s="8" t="n">
        <v>14.4</v>
      </c>
      <c r="Z40" s="5" t="inlineStr">
        <is>
          <t>V</t>
        </is>
      </c>
      <c r="AA40" s="8" t="n">
        <v>13.7</v>
      </c>
      <c r="AC40" s="5" t="inlineStr">
        <is>
          <t>V</t>
        </is>
      </c>
      <c r="AD40" s="8" t="n">
        <v>11.6</v>
      </c>
    </row>
    <row r="41">
      <c r="E41" s="5" t="inlineStr">
        <is>
          <t>G</t>
        </is>
      </c>
      <c r="F41" s="8">
        <f>B12</f>
        <v/>
      </c>
      <c r="H41" s="5" t="inlineStr">
        <is>
          <t>H</t>
        </is>
      </c>
      <c r="I41" s="8" t="n">
        <v>6.3</v>
      </c>
      <c r="K41" s="5" t="inlineStr">
        <is>
          <t>H</t>
        </is>
      </c>
      <c r="L41" s="8" t="n">
        <v>5.5</v>
      </c>
      <c r="N41" s="5" t="inlineStr">
        <is>
          <t>U</t>
        </is>
      </c>
      <c r="O41" s="8" t="n">
        <v>29.1</v>
      </c>
      <c r="Q41" s="5" t="inlineStr">
        <is>
          <t>V</t>
        </is>
      </c>
      <c r="R41" s="8" t="n">
        <v>12.4</v>
      </c>
      <c r="T41" s="34" t="inlineStr">
        <is>
          <t>W</t>
        </is>
      </c>
      <c r="U41" s="35" t="n">
        <v>4.9</v>
      </c>
      <c r="W41" s="35" t="inlineStr">
        <is>
          <t>X</t>
        </is>
      </c>
      <c r="X41" s="35" t="n">
        <v>3.3</v>
      </c>
      <c r="Z41" s="35" t="inlineStr">
        <is>
          <t>Y</t>
        </is>
      </c>
      <c r="AA41" s="35" t="n">
        <v>5.5</v>
      </c>
    </row>
    <row r="42">
      <c r="E42" s="5" t="inlineStr">
        <is>
          <t>H</t>
        </is>
      </c>
      <c r="F42" s="8">
        <f>B13</f>
        <v/>
      </c>
      <c r="H42" s="34" t="inlineStr">
        <is>
          <t>I</t>
        </is>
      </c>
      <c r="I42" s="35" t="n">
        <v>4.2</v>
      </c>
      <c r="K42" s="5" t="inlineStr">
        <is>
          <t>U</t>
        </is>
      </c>
      <c r="L42" s="8" t="n">
        <v>7.6</v>
      </c>
      <c r="N42" s="5" t="inlineStr">
        <is>
          <t>V</t>
        </is>
      </c>
      <c r="O42" s="8" t="n">
        <v>12</v>
      </c>
      <c r="Q42" s="5" t="inlineStr">
        <is>
          <t>W</t>
        </is>
      </c>
      <c r="R42" s="8" t="n">
        <v>6.9</v>
      </c>
      <c r="T42" s="8" t="inlineStr">
        <is>
          <t>X</t>
        </is>
      </c>
      <c r="U42" s="8" t="n">
        <v>15.2</v>
      </c>
      <c r="W42" s="8" t="inlineStr">
        <is>
          <t>Y</t>
        </is>
      </c>
      <c r="X42" s="8" t="n">
        <v>8</v>
      </c>
    </row>
    <row r="43">
      <c r="E43" s="5" t="inlineStr">
        <is>
          <t>I</t>
        </is>
      </c>
      <c r="F43" s="8">
        <f>B14</f>
        <v/>
      </c>
      <c r="H43" s="5" t="inlineStr">
        <is>
          <t>U</t>
        </is>
      </c>
      <c r="I43" s="8" t="n">
        <v>11</v>
      </c>
      <c r="K43" s="5" t="inlineStr">
        <is>
          <t>V</t>
        </is>
      </c>
      <c r="L43" s="8" t="n">
        <v>5.1</v>
      </c>
      <c r="N43" s="5" t="inlineStr">
        <is>
          <t>W</t>
        </is>
      </c>
      <c r="O43" s="8" t="n">
        <v>6.6</v>
      </c>
      <c r="Q43" s="8" t="inlineStr">
        <is>
          <t>X</t>
        </is>
      </c>
      <c r="R43" s="8" t="n">
        <v>17.3</v>
      </c>
      <c r="T43" s="8" t="inlineStr">
        <is>
          <t>Y</t>
        </is>
      </c>
      <c r="U43" s="8" t="n">
        <v>12.8</v>
      </c>
    </row>
    <row r="44">
      <c r="E44" s="5" t="inlineStr">
        <is>
          <t>U</t>
        </is>
      </c>
      <c r="F44" s="8">
        <f>B26</f>
        <v/>
      </c>
      <c r="H44" s="5" t="inlineStr">
        <is>
          <t>V</t>
        </is>
      </c>
      <c r="I44" s="8">
        <f>E27</f>
        <v/>
      </c>
      <c r="K44" s="5" t="inlineStr">
        <is>
          <t>W</t>
        </is>
      </c>
      <c r="L44" s="8" t="n">
        <v>15.7</v>
      </c>
      <c r="N44" s="8" t="inlineStr">
        <is>
          <t>X</t>
        </is>
      </c>
      <c r="O44" s="8" t="n">
        <v>16.9</v>
      </c>
      <c r="Q44" s="8" t="inlineStr">
        <is>
          <t>Y</t>
        </is>
      </c>
      <c r="R44" s="8" t="n">
        <v>14.8</v>
      </c>
    </row>
    <row r="45">
      <c r="E45" s="5" t="inlineStr">
        <is>
          <t>V</t>
        </is>
      </c>
      <c r="F45" s="8">
        <f>B27</f>
        <v/>
      </c>
      <c r="H45" s="5" t="inlineStr">
        <is>
          <t>W</t>
        </is>
      </c>
      <c r="I45" s="8">
        <f>E28</f>
        <v/>
      </c>
      <c r="K45" s="8" t="inlineStr">
        <is>
          <t>X</t>
        </is>
      </c>
      <c r="L45" s="8" t="n">
        <v>18.4</v>
      </c>
      <c r="N45" s="8" t="inlineStr">
        <is>
          <t>Y</t>
        </is>
      </c>
      <c r="O45" s="8" t="n">
        <v>14.5</v>
      </c>
    </row>
    <row r="46">
      <c r="E46" s="5" t="inlineStr">
        <is>
          <t>W</t>
        </is>
      </c>
      <c r="F46" s="8">
        <f>B28</f>
        <v/>
      </c>
      <c r="H46" s="8" t="inlineStr">
        <is>
          <t>X</t>
        </is>
      </c>
      <c r="I46" s="8">
        <f>E29</f>
        <v/>
      </c>
      <c r="K46" s="8" t="inlineStr">
        <is>
          <t>Y</t>
        </is>
      </c>
      <c r="L46" s="8" t="n">
        <v>10.2</v>
      </c>
    </row>
    <row r="47">
      <c r="E47" s="8" t="inlineStr">
        <is>
          <t>X</t>
        </is>
      </c>
      <c r="F47" s="8">
        <f>B29</f>
        <v/>
      </c>
      <c r="H47" s="8" t="inlineStr">
        <is>
          <t>Y</t>
        </is>
      </c>
      <c r="I47" s="8">
        <f>E30</f>
        <v/>
      </c>
    </row>
    <row r="48">
      <c r="E48" s="8" t="inlineStr">
        <is>
          <t>Y</t>
        </is>
      </c>
      <c r="F48" s="8">
        <f>B30</f>
        <v/>
      </c>
    </row>
    <row r="51">
      <c r="A51" s="99" t="inlineStr">
        <is>
          <t>TRUK 2</t>
        </is>
      </c>
      <c r="E51" s="100" t="inlineStr">
        <is>
          <t>RUTE TRUK 2</t>
        </is>
      </c>
      <c r="F51" s="97" t="inlineStr">
        <is>
          <t>GUDANG – A – B – C – N – O – P – Q – R – S – T – GUDANG</t>
        </is>
      </c>
      <c r="N51" s="101" t="inlineStr">
        <is>
          <t>RUTE TRUK 2 BARU</t>
        </is>
      </c>
      <c r="O51" s="98" t="inlineStr">
        <is>
          <t>GUDANG - A - C - B - O - N - P - S - Q - R - T - GUDANG</t>
        </is>
      </c>
      <c r="W51" s="102" t="inlineStr">
        <is>
          <t>TOTAL JARAK</t>
        </is>
      </c>
      <c r="X51" s="98">
        <f>SUM(F57,I58,L57,O58,R57,U57,X59,AA57,AD57,AG57,V5)</f>
        <v/>
      </c>
    </row>
    <row r="52"/>
    <row r="53"/>
    <row r="56">
      <c r="E56" s="87" t="inlineStr">
        <is>
          <t>GUDANG</t>
        </is>
      </c>
      <c r="F56" s="137" t="n"/>
      <c r="H56" s="87" t="inlineStr">
        <is>
          <t>A</t>
        </is>
      </c>
      <c r="I56" s="137" t="n"/>
      <c r="K56" s="87" t="inlineStr">
        <is>
          <t>C</t>
        </is>
      </c>
      <c r="L56" s="137" t="n"/>
      <c r="N56" s="87" t="inlineStr">
        <is>
          <t>B</t>
        </is>
      </c>
      <c r="O56" s="137" t="n"/>
      <c r="Q56" s="87" t="inlineStr">
        <is>
          <t>O</t>
        </is>
      </c>
      <c r="R56" s="137" t="n"/>
      <c r="T56" s="87" t="inlineStr">
        <is>
          <t>N</t>
        </is>
      </c>
      <c r="U56" s="137" t="n"/>
      <c r="W56" s="87" t="inlineStr">
        <is>
          <t>P</t>
        </is>
      </c>
      <c r="X56" s="137" t="n"/>
      <c r="Z56" s="87" t="inlineStr">
        <is>
          <t>S</t>
        </is>
      </c>
      <c r="AA56" s="137" t="n"/>
      <c r="AC56" s="87" t="inlineStr">
        <is>
          <t>Q</t>
        </is>
      </c>
      <c r="AD56" s="137" t="n"/>
      <c r="AF56" s="87" t="inlineStr">
        <is>
          <t>R</t>
        </is>
      </c>
      <c r="AG56" s="137" t="n"/>
    </row>
    <row r="57">
      <c r="E57" s="40" t="inlineStr">
        <is>
          <t>A</t>
        </is>
      </c>
      <c r="F57" s="39" t="n">
        <v>9.4</v>
      </c>
      <c r="H57" s="5" t="inlineStr">
        <is>
          <t>B</t>
        </is>
      </c>
      <c r="I57" s="8" t="n">
        <v>8</v>
      </c>
      <c r="K57" s="40" t="inlineStr">
        <is>
          <t>B</t>
        </is>
      </c>
      <c r="L57" s="39" t="n">
        <v>3.6</v>
      </c>
      <c r="N57" s="5" t="inlineStr">
        <is>
          <t>N</t>
        </is>
      </c>
      <c r="O57" s="8" t="n">
        <v>14.3</v>
      </c>
      <c r="Q57" s="40" t="inlineStr">
        <is>
          <t>N</t>
        </is>
      </c>
      <c r="R57" s="39" t="n">
        <v>2.9</v>
      </c>
      <c r="T57" s="40" t="inlineStr">
        <is>
          <t>P</t>
        </is>
      </c>
      <c r="U57" s="39" t="n">
        <v>9.699999999999999</v>
      </c>
      <c r="W57" s="5" t="inlineStr">
        <is>
          <t>Q</t>
        </is>
      </c>
      <c r="X57" s="8" t="n">
        <v>6</v>
      </c>
      <c r="Z57" s="40" t="inlineStr">
        <is>
          <t>Q</t>
        </is>
      </c>
      <c r="AA57" s="39" t="n">
        <v>8.1</v>
      </c>
      <c r="AC57" s="40" t="inlineStr">
        <is>
          <t>R</t>
        </is>
      </c>
      <c r="AD57" s="39" t="n">
        <v>5.2</v>
      </c>
      <c r="AF57" s="40" t="inlineStr">
        <is>
          <t>T</t>
        </is>
      </c>
      <c r="AG57" s="39" t="n">
        <v>12.7</v>
      </c>
    </row>
    <row r="58">
      <c r="E58" s="5" t="inlineStr">
        <is>
          <t>B</t>
        </is>
      </c>
      <c r="F58" s="8" t="n">
        <v>15.3</v>
      </c>
      <c r="H58" s="40" t="inlineStr">
        <is>
          <t>C</t>
        </is>
      </c>
      <c r="I58" s="39" t="n">
        <v>6.8</v>
      </c>
      <c r="K58" s="5" t="inlineStr">
        <is>
          <t>N</t>
        </is>
      </c>
      <c r="L58" s="8" t="n">
        <v>14.2</v>
      </c>
      <c r="N58" s="40" t="inlineStr">
        <is>
          <t>O</t>
        </is>
      </c>
      <c r="O58" s="39" t="n">
        <v>11.7</v>
      </c>
      <c r="Q58" s="5" t="inlineStr">
        <is>
          <t>P</t>
        </is>
      </c>
      <c r="R58" s="8" t="n">
        <v>9.699999999999999</v>
      </c>
      <c r="T58" s="5" t="inlineStr">
        <is>
          <t>Q</t>
        </is>
      </c>
      <c r="U58" s="8" t="n">
        <v>12.4</v>
      </c>
      <c r="W58" s="5" t="inlineStr">
        <is>
          <t>R</t>
        </is>
      </c>
      <c r="X58" s="8" t="n">
        <v>11.2</v>
      </c>
      <c r="Z58" s="5" t="inlineStr">
        <is>
          <t>R</t>
        </is>
      </c>
      <c r="AA58" s="8" t="n">
        <v>17.2</v>
      </c>
      <c r="AC58" s="5" t="inlineStr">
        <is>
          <t>T</t>
        </is>
      </c>
      <c r="AD58" s="8" t="n">
        <v>12.3</v>
      </c>
    </row>
    <row r="59">
      <c r="E59" s="5" t="inlineStr">
        <is>
          <t>C</t>
        </is>
      </c>
      <c r="F59" s="8" t="n">
        <v>14.1</v>
      </c>
      <c r="H59" s="5" t="inlineStr">
        <is>
          <t>N</t>
        </is>
      </c>
      <c r="I59" s="8" t="n">
        <v>23</v>
      </c>
      <c r="K59" s="5" t="inlineStr">
        <is>
          <t>O</t>
        </is>
      </c>
      <c r="L59" s="8" t="n">
        <v>11.8</v>
      </c>
      <c r="N59" s="5" t="inlineStr">
        <is>
          <t>P</t>
        </is>
      </c>
      <c r="O59" s="8" t="n">
        <v>24.1</v>
      </c>
      <c r="Q59" s="5" t="inlineStr">
        <is>
          <t>Q</t>
        </is>
      </c>
      <c r="R59" s="8" t="n">
        <v>12.4</v>
      </c>
      <c r="T59" s="5" t="inlineStr">
        <is>
          <t>R</t>
        </is>
      </c>
      <c r="U59" s="8" t="n">
        <v>17.6</v>
      </c>
      <c r="W59" s="40" t="inlineStr">
        <is>
          <t>S</t>
        </is>
      </c>
      <c r="X59" s="39" t="n">
        <v>2</v>
      </c>
      <c r="Z59" s="5" t="inlineStr">
        <is>
          <t>T</t>
        </is>
      </c>
      <c r="AA59" s="8" t="n">
        <v>9.5</v>
      </c>
    </row>
    <row r="60">
      <c r="E60" s="5" t="inlineStr">
        <is>
          <t>N</t>
        </is>
      </c>
      <c r="F60" s="8" t="n">
        <v>28.3</v>
      </c>
      <c r="H60" s="5" t="inlineStr">
        <is>
          <t>O</t>
        </is>
      </c>
      <c r="I60" s="8" t="n">
        <v>18.2</v>
      </c>
      <c r="K60" s="5" t="inlineStr">
        <is>
          <t>P</t>
        </is>
      </c>
      <c r="L60" s="8" t="n">
        <v>23.9</v>
      </c>
      <c r="N60" s="5" t="inlineStr">
        <is>
          <t>Q</t>
        </is>
      </c>
      <c r="O60" s="8" t="n">
        <v>26.4</v>
      </c>
      <c r="Q60" s="5" t="inlineStr">
        <is>
          <t>R</t>
        </is>
      </c>
      <c r="R60" s="8" t="n">
        <v>17.6</v>
      </c>
      <c r="T60" s="5" t="inlineStr">
        <is>
          <t>S</t>
        </is>
      </c>
      <c r="U60" s="8" t="n">
        <v>12.1</v>
      </c>
      <c r="W60" s="5" t="inlineStr">
        <is>
          <t>T</t>
        </is>
      </c>
      <c r="X60" s="8" t="n">
        <v>6.7</v>
      </c>
    </row>
    <row r="61">
      <c r="E61" s="5" t="inlineStr">
        <is>
          <t>O</t>
        </is>
      </c>
      <c r="F61" s="8" t="n">
        <v>25.5</v>
      </c>
      <c r="H61" s="5" t="inlineStr">
        <is>
          <t>P</t>
        </is>
      </c>
      <c r="I61" s="8" t="n">
        <v>30.7</v>
      </c>
      <c r="K61" s="5" t="inlineStr">
        <is>
          <t>Q</t>
        </is>
      </c>
      <c r="L61" s="8" t="n">
        <v>26.2</v>
      </c>
      <c r="N61" s="5" t="inlineStr">
        <is>
          <t>R</t>
        </is>
      </c>
      <c r="O61" s="8" t="n">
        <v>31.6</v>
      </c>
      <c r="Q61" s="5" t="inlineStr">
        <is>
          <t>S</t>
        </is>
      </c>
      <c r="R61" s="8" t="n">
        <v>12.1</v>
      </c>
      <c r="T61" s="5" t="inlineStr">
        <is>
          <t>T</t>
        </is>
      </c>
      <c r="U61" s="8" t="n">
        <v>16.8</v>
      </c>
    </row>
    <row r="62">
      <c r="E62" s="5" t="inlineStr">
        <is>
          <t>P</t>
        </is>
      </c>
      <c r="F62" s="8" t="n">
        <v>38</v>
      </c>
      <c r="H62" s="5" t="inlineStr">
        <is>
          <t>Q</t>
        </is>
      </c>
      <c r="I62" s="8" t="n">
        <v>33</v>
      </c>
      <c r="K62" s="5" t="inlineStr">
        <is>
          <t>R</t>
        </is>
      </c>
      <c r="L62" s="8" t="n">
        <v>31.5</v>
      </c>
      <c r="N62" s="5" t="inlineStr">
        <is>
          <t>S</t>
        </is>
      </c>
      <c r="O62" s="8" t="n">
        <v>26.4</v>
      </c>
      <c r="Q62" s="5" t="inlineStr">
        <is>
          <t>T</t>
        </is>
      </c>
      <c r="R62" s="8" t="n">
        <v>16.8</v>
      </c>
    </row>
    <row r="63">
      <c r="E63" s="5" t="inlineStr">
        <is>
          <t>Q</t>
        </is>
      </c>
      <c r="F63" s="8" t="n">
        <v>40.4</v>
      </c>
      <c r="H63" s="5" t="inlineStr">
        <is>
          <t>R</t>
        </is>
      </c>
      <c r="I63" s="8" t="n">
        <v>38.3</v>
      </c>
      <c r="K63" s="5" t="inlineStr">
        <is>
          <t>S</t>
        </is>
      </c>
      <c r="L63" s="8" t="n">
        <v>26.2</v>
      </c>
      <c r="N63" s="5" t="inlineStr">
        <is>
          <t>T</t>
        </is>
      </c>
      <c r="O63" s="8" t="n">
        <v>31.1</v>
      </c>
    </row>
    <row r="64">
      <c r="E64" s="5" t="inlineStr">
        <is>
          <t>R</t>
        </is>
      </c>
      <c r="F64" s="8" t="n">
        <v>46.3</v>
      </c>
      <c r="H64" s="5" t="inlineStr">
        <is>
          <t>S</t>
        </is>
      </c>
      <c r="I64" s="8" t="n">
        <v>33.1</v>
      </c>
      <c r="K64" s="5" t="inlineStr">
        <is>
          <t>T</t>
        </is>
      </c>
      <c r="L64" s="8" t="n">
        <v>30.9</v>
      </c>
    </row>
    <row r="65">
      <c r="E65" s="5" t="inlineStr">
        <is>
          <t>S</t>
        </is>
      </c>
      <c r="F65" s="8" t="n">
        <v>40.4</v>
      </c>
      <c r="H65" s="5" t="inlineStr">
        <is>
          <t>T</t>
        </is>
      </c>
      <c r="I65" s="8" t="n">
        <v>37.8</v>
      </c>
    </row>
    <row r="66">
      <c r="E66" s="5" t="inlineStr">
        <is>
          <t>T</t>
        </is>
      </c>
      <c r="F66" s="8" t="n">
        <v>45.1</v>
      </c>
    </row>
    <row r="69">
      <c r="A69" s="99" t="inlineStr">
        <is>
          <t>TRUK 3</t>
        </is>
      </c>
      <c r="E69" s="100" t="inlineStr">
        <is>
          <t>RUTE TRUK 3</t>
        </is>
      </c>
      <c r="F69" s="97" t="inlineStr">
        <is>
          <t>GUDANG - J - K - L - M - GUDANG</t>
        </is>
      </c>
      <c r="N69" s="101" t="inlineStr">
        <is>
          <t>RUTE TRUK 3 BARU</t>
        </is>
      </c>
      <c r="O69" s="98" t="inlineStr">
        <is>
          <t>GUDANG - J - K - L - M - GUDANG</t>
        </is>
      </c>
      <c r="W69" s="102" t="inlineStr">
        <is>
          <t>TOTAL JARAK</t>
        </is>
      </c>
      <c r="X69" s="98">
        <f>SUM(F75,I75,L75,O75,O5)</f>
        <v/>
      </c>
    </row>
    <row r="70"/>
    <row r="71"/>
    <row r="74">
      <c r="E74" s="87" t="inlineStr">
        <is>
          <t>JARAK DARI GUDANG</t>
        </is>
      </c>
      <c r="F74" s="137" t="n"/>
      <c r="H74" s="87" t="inlineStr">
        <is>
          <t>J</t>
        </is>
      </c>
      <c r="I74" s="137" t="n"/>
      <c r="K74" s="87" t="inlineStr">
        <is>
          <t>K</t>
        </is>
      </c>
      <c r="L74" s="137" t="n"/>
      <c r="N74" s="87" t="inlineStr">
        <is>
          <t>L</t>
        </is>
      </c>
      <c r="O74" s="137" t="n"/>
    </row>
    <row r="75">
      <c r="E75" s="43" t="inlineStr">
        <is>
          <t>J</t>
        </is>
      </c>
      <c r="F75" s="44" t="n">
        <v>24.9</v>
      </c>
      <c r="H75" s="43" t="inlineStr">
        <is>
          <t>K</t>
        </is>
      </c>
      <c r="I75" s="44" t="n">
        <v>6.7</v>
      </c>
      <c r="K75" s="43" t="inlineStr">
        <is>
          <t>L</t>
        </is>
      </c>
      <c r="L75" s="44" t="n">
        <v>1.2</v>
      </c>
      <c r="N75" s="43" t="inlineStr">
        <is>
          <t>M</t>
        </is>
      </c>
      <c r="O75" s="44" t="n">
        <v>3.4</v>
      </c>
    </row>
    <row r="76">
      <c r="E76" s="5" t="inlineStr">
        <is>
          <t>K</t>
        </is>
      </c>
      <c r="F76" s="8" t="n">
        <v>27.1</v>
      </c>
      <c r="H76" s="5" t="inlineStr">
        <is>
          <t>L</t>
        </is>
      </c>
      <c r="I76" s="8" t="n">
        <v>7.2</v>
      </c>
      <c r="K76" s="5" t="inlineStr">
        <is>
          <t>M</t>
        </is>
      </c>
      <c r="L76" s="8" t="n">
        <v>1.3</v>
      </c>
    </row>
    <row r="77">
      <c r="E77" s="5" t="inlineStr">
        <is>
          <t>L</t>
        </is>
      </c>
      <c r="F77" s="8" t="n">
        <v>27.6</v>
      </c>
      <c r="H77" s="5" t="inlineStr">
        <is>
          <t>M</t>
        </is>
      </c>
      <c r="I77" s="8" t="n">
        <v>7.7</v>
      </c>
    </row>
    <row r="78">
      <c r="E78" s="5" t="inlineStr">
        <is>
          <t>M</t>
        </is>
      </c>
      <c r="F78" s="8" t="n">
        <v>30.9</v>
      </c>
    </row>
  </sheetData>
  <mergeCells count="43">
    <mergeCell ref="K74:L74"/>
    <mergeCell ref="AF56:AG56"/>
    <mergeCell ref="Q56:R56"/>
    <mergeCell ref="AF37:AG37"/>
    <mergeCell ref="Q37:R37"/>
    <mergeCell ref="X51:X53"/>
    <mergeCell ref="N69:N71"/>
    <mergeCell ref="O51:U53"/>
    <mergeCell ref="AC37:AD37"/>
    <mergeCell ref="A51:C53"/>
    <mergeCell ref="N37:O37"/>
    <mergeCell ref="F51:K53"/>
    <mergeCell ref="H74:I74"/>
    <mergeCell ref="H56:I56"/>
    <mergeCell ref="N56:O56"/>
    <mergeCell ref="A3:AA3"/>
    <mergeCell ref="X69:X71"/>
    <mergeCell ref="N51:N53"/>
    <mergeCell ref="Z37:AA37"/>
    <mergeCell ref="O34:U34"/>
    <mergeCell ref="E74:F74"/>
    <mergeCell ref="Z56:AA56"/>
    <mergeCell ref="A33:C35"/>
    <mergeCell ref="K56:L56"/>
    <mergeCell ref="W56:X56"/>
    <mergeCell ref="W69:W71"/>
    <mergeCell ref="E51:E53"/>
    <mergeCell ref="H37:I37"/>
    <mergeCell ref="W51:W53"/>
    <mergeCell ref="AI37:AJ37"/>
    <mergeCell ref="O69:U71"/>
    <mergeCell ref="F69:K71"/>
    <mergeCell ref="AC56:AD56"/>
    <mergeCell ref="F34:K34"/>
    <mergeCell ref="T56:U56"/>
    <mergeCell ref="E69:E71"/>
    <mergeCell ref="T37:U37"/>
    <mergeCell ref="E37:F37"/>
    <mergeCell ref="K37:L37"/>
    <mergeCell ref="N74:O74"/>
    <mergeCell ref="E56:F56"/>
    <mergeCell ref="W37:X37"/>
    <mergeCell ref="A69:C7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73"/>
  <sheetViews>
    <sheetView topLeftCell="AL20" zoomScale="82" zoomScaleNormal="70" workbookViewId="0">
      <selection activeCell="R7" sqref="R7:S11"/>
    </sheetView>
  </sheetViews>
  <sheetFormatPr baseColWidth="8" defaultRowHeight="14.5"/>
  <cols>
    <col width="17.81640625" customWidth="1" min="3" max="3"/>
    <col width="13.54296875" customWidth="1" min="4" max="4"/>
    <col width="12.08984375" customWidth="1" min="11" max="11"/>
    <col width="16.54296875" customWidth="1" min="13" max="13"/>
    <col width="18.1796875" customWidth="1" min="14" max="14"/>
    <col width="16.08984375" customWidth="1" min="18" max="18"/>
    <col width="10.36328125" customWidth="1" min="19" max="19"/>
    <col width="15" customWidth="1" min="21" max="21"/>
    <col width="14.81640625" customWidth="1" min="32" max="32"/>
    <col width="12.26953125" customWidth="1" min="33" max="33"/>
    <col width="18.26953125" customWidth="1" min="34" max="34"/>
    <col width="13.81640625" customWidth="1" min="40" max="40"/>
    <col width="8.7265625" customWidth="1" min="41" max="41"/>
    <col width="16.36328125" customWidth="1" min="42" max="42"/>
    <col width="12" customWidth="1" min="47" max="47"/>
    <col width="18.81640625" customWidth="1" min="48" max="48"/>
    <col width="16.90625" customWidth="1" min="50" max="50"/>
  </cols>
  <sheetData>
    <row r="1">
      <c r="AC1" s="30" t="n"/>
    </row>
    <row r="2">
      <c r="G2" s="87" t="inlineStr">
        <is>
          <t>CDD (COLT DIESEL DOUBLE)</t>
        </is>
      </c>
      <c r="H2" s="136" t="n"/>
      <c r="I2" s="137" t="n"/>
      <c r="AC2" s="30" t="n"/>
    </row>
    <row r="3">
      <c r="G3" s="87" t="inlineStr">
        <is>
          <t>5 TON</t>
        </is>
      </c>
      <c r="H3" s="136" t="n"/>
      <c r="I3" s="137" t="n"/>
      <c r="AC3" s="30" t="n"/>
    </row>
    <row r="4">
      <c r="K4" s="8" t="inlineStr">
        <is>
          <t>TRUK</t>
        </is>
      </c>
      <c r="L4" s="8" t="n">
        <v>1</v>
      </c>
      <c r="AC4" s="30" t="n"/>
    </row>
    <row r="5" ht="14.5" customHeight="1">
      <c r="K5" s="8" t="inlineStr">
        <is>
          <t>KAPASITAS</t>
        </is>
      </c>
      <c r="L5" s="8" t="n">
        <v>5000</v>
      </c>
      <c r="AC5" s="30" t="n"/>
    </row>
    <row r="6">
      <c r="AC6" s="30" t="n"/>
    </row>
    <row r="7">
      <c r="K7" s="8" t="inlineStr">
        <is>
          <t>RUTE</t>
        </is>
      </c>
      <c r="L7" s="8" t="inlineStr">
        <is>
          <t>TRUK</t>
        </is>
      </c>
      <c r="M7" s="8" t="inlineStr">
        <is>
          <t>RUTE TIAP TRUK</t>
        </is>
      </c>
      <c r="N7" s="8" t="inlineStr">
        <is>
          <t>WAKTU</t>
        </is>
      </c>
      <c r="O7" s="8" t="inlineStr">
        <is>
          <t>ORDER</t>
        </is>
      </c>
      <c r="R7" s="88" t="inlineStr">
        <is>
          <t>TOTAL WAKTU (MENIT)</t>
        </is>
      </c>
      <c r="S7" s="8" t="n"/>
      <c r="U7" s="88" t="inlineStr">
        <is>
          <t>TOTAL LOAD</t>
        </is>
      </c>
      <c r="V7" s="8" t="n"/>
      <c r="AC7" s="30" t="n"/>
      <c r="AG7" s="8" t="inlineStr">
        <is>
          <t>TRUK</t>
        </is>
      </c>
      <c r="AH7" s="8" t="n">
        <v>1</v>
      </c>
      <c r="AN7" s="8" t="inlineStr">
        <is>
          <t>TRUK</t>
        </is>
      </c>
      <c r="AO7" s="8" t="n">
        <v>2</v>
      </c>
      <c r="AU7" s="8" t="inlineStr">
        <is>
          <t>TRUK</t>
        </is>
      </c>
      <c r="AV7" s="8" t="n">
        <v>3</v>
      </c>
    </row>
    <row r="8">
      <c r="K8" s="5" t="n">
        <v>0</v>
      </c>
      <c r="L8" s="8" t="n"/>
      <c r="M8" s="8" t="n">
        <v>0</v>
      </c>
      <c r="N8" s="8" t="n"/>
      <c r="O8" s="8" t="n"/>
      <c r="R8" s="135" t="n"/>
      <c r="S8" s="8">
        <f>N34</f>
        <v/>
      </c>
      <c r="U8" s="135" t="n"/>
      <c r="V8" s="8">
        <f>O34</f>
        <v/>
      </c>
      <c r="AC8" s="30" t="n"/>
      <c r="AG8" s="8" t="inlineStr">
        <is>
          <t>KAPASITAS</t>
        </is>
      </c>
      <c r="AH8" s="8" t="n">
        <v>5000</v>
      </c>
      <c r="AN8" s="8" t="inlineStr">
        <is>
          <t>KAPASITAS</t>
        </is>
      </c>
      <c r="AO8" s="8" t="n">
        <v>5000</v>
      </c>
      <c r="AU8" s="8" t="inlineStr">
        <is>
          <t>KAPASITAS</t>
        </is>
      </c>
      <c r="AV8" s="8" t="n">
        <v>5000</v>
      </c>
    </row>
    <row r="9">
      <c r="J9" s="5" t="inlineStr">
        <is>
          <t>A</t>
        </is>
      </c>
      <c r="K9" s="5" t="n">
        <v>1</v>
      </c>
      <c r="L9" s="8" t="n">
        <v>2</v>
      </c>
      <c r="M9" s="8">
        <f>IF($L$4=L9,K9,$M$8)</f>
        <v/>
      </c>
      <c r="N9" s="8">
        <f t="array" ref="N9">INDEX($B$45:$AA$70,M8+1,M9+1)</f>
        <v/>
      </c>
      <c r="O9" s="8">
        <f>IF(L9=$L$4,VLOOKUP(K9,$B$16:$D$40,3,FALSE),0)</f>
        <v/>
      </c>
      <c r="R9" s="8" t="n">
        <v>1</v>
      </c>
      <c r="S9" s="8">
        <f t="dataTable" ref="S9:S11" dt2D="0" dtr="0" r1="L4" ca="1"/>
        <v/>
      </c>
      <c r="U9" s="8" t="n">
        <v>1</v>
      </c>
      <c r="V9" s="8">
        <f t="dataTable" ref="V9:V11" dt2D="0" dtr="0" r1="L4"/>
        <v/>
      </c>
      <c r="AC9" s="30" t="n"/>
    </row>
    <row r="10">
      <c r="J10" s="5" t="inlineStr">
        <is>
          <t>B</t>
        </is>
      </c>
      <c r="K10" s="5" t="n">
        <v>2</v>
      </c>
      <c r="L10" s="8" t="n">
        <v>2</v>
      </c>
      <c r="M10" s="8">
        <f>IF($L$4=L10,K10,$M$8)</f>
        <v/>
      </c>
      <c r="N10" s="8">
        <f t="array" ref="N10">INDEX($B$45:$AA$70,M9+1,M10+1)</f>
        <v/>
      </c>
      <c r="O10" s="8">
        <f>IF(L10=$L$4,VLOOKUP(K10,$B$16:$D$40,3,FALSE),0)</f>
        <v/>
      </c>
      <c r="R10" s="8" t="n">
        <v>2</v>
      </c>
      <c r="S10" s="8" t="n">
        <v>299</v>
      </c>
      <c r="U10" s="8" t="n">
        <v>2</v>
      </c>
      <c r="V10" s="8" t="n">
        <v>3670</v>
      </c>
      <c r="AC10" s="30" t="n"/>
      <c r="AF10" s="8" t="n"/>
      <c r="AG10" s="8" t="inlineStr">
        <is>
          <t>RUTE</t>
        </is>
      </c>
      <c r="AH10" s="8" t="inlineStr">
        <is>
          <t>TRUK</t>
        </is>
      </c>
      <c r="AI10" s="8" t="inlineStr">
        <is>
          <t>RUTE TIAP TRUK</t>
        </is>
      </c>
      <c r="AJ10" s="8" t="inlineStr">
        <is>
          <t>WAKTU</t>
        </is>
      </c>
      <c r="AK10" s="8" t="inlineStr">
        <is>
          <t>ORDER</t>
        </is>
      </c>
      <c r="AM10" s="8" t="n"/>
      <c r="AN10" s="8" t="inlineStr">
        <is>
          <t>RUTE</t>
        </is>
      </c>
      <c r="AO10" s="8" t="inlineStr">
        <is>
          <t>TRUK</t>
        </is>
      </c>
      <c r="AP10" s="8" t="inlineStr">
        <is>
          <t>RUTE TIAP TRUK</t>
        </is>
      </c>
      <c r="AQ10" s="8" t="inlineStr">
        <is>
          <t>WAKTU</t>
        </is>
      </c>
      <c r="AR10" s="8" t="inlineStr">
        <is>
          <t>ORDER</t>
        </is>
      </c>
      <c r="AT10" s="8" t="n"/>
      <c r="AU10" s="8" t="inlineStr">
        <is>
          <t>RUTE</t>
        </is>
      </c>
      <c r="AV10" s="8" t="inlineStr">
        <is>
          <t>TRUK</t>
        </is>
      </c>
      <c r="AW10" s="8" t="inlineStr">
        <is>
          <t>RUTE TIAP TRUK</t>
        </is>
      </c>
      <c r="AX10" s="8" t="inlineStr">
        <is>
          <t>WAKTU</t>
        </is>
      </c>
      <c r="AY10" s="8" t="inlineStr">
        <is>
          <t>ORDER</t>
        </is>
      </c>
    </row>
    <row r="11">
      <c r="J11" s="5" t="inlineStr">
        <is>
          <t>C</t>
        </is>
      </c>
      <c r="K11" s="5" t="n">
        <v>3</v>
      </c>
      <c r="L11" s="8" t="n">
        <v>2</v>
      </c>
      <c r="M11" s="8">
        <f>IF($L$4=L11,K11,$M$8)</f>
        <v/>
      </c>
      <c r="N11" s="8">
        <f t="array" ref="N11">INDEX($B$45:$AA$70,M10+1,M11+1)</f>
        <v/>
      </c>
      <c r="O11" s="8">
        <f>IF(L11=$L$4,VLOOKUP(K11,$B$16:$D$40,3,FALSE),0)</f>
        <v/>
      </c>
      <c r="R11" s="8" t="n">
        <v>3</v>
      </c>
      <c r="S11" s="8" t="n">
        <v>136</v>
      </c>
      <c r="U11" s="8" t="n">
        <v>3</v>
      </c>
      <c r="V11" s="8" t="n">
        <v>1880</v>
      </c>
      <c r="AC11" s="30" t="n"/>
      <c r="AF11" s="8" t="n"/>
      <c r="AG11" s="8" t="n">
        <v>0</v>
      </c>
      <c r="AH11" s="8" t="n"/>
      <c r="AI11" s="8" t="n">
        <v>0</v>
      </c>
      <c r="AJ11" s="8" t="n"/>
      <c r="AK11" s="8" t="n"/>
      <c r="AM11" s="8" t="n"/>
      <c r="AN11" s="8" t="n">
        <v>0</v>
      </c>
      <c r="AO11" s="8" t="n"/>
      <c r="AP11" s="8" t="n">
        <v>0</v>
      </c>
      <c r="AQ11" s="8" t="n"/>
      <c r="AR11" s="8" t="n"/>
      <c r="AT11" s="8" t="n"/>
      <c r="AU11" s="8" t="n">
        <v>0</v>
      </c>
      <c r="AV11" s="8" t="n"/>
      <c r="AW11" s="8" t="n">
        <v>0</v>
      </c>
      <c r="AX11" s="8" t="n"/>
      <c r="AY11" s="8" t="n"/>
    </row>
    <row r="12">
      <c r="J12" s="5" t="inlineStr">
        <is>
          <t>D</t>
        </is>
      </c>
      <c r="K12" s="5" t="n">
        <v>4</v>
      </c>
      <c r="L12" s="8" t="n">
        <v>1</v>
      </c>
      <c r="M12" s="8">
        <f>IF($L$4=L12,K12,$M$8)</f>
        <v/>
      </c>
      <c r="N12" s="8">
        <f t="array" ref="N12">INDEX($B$45:$AA$70,M11+1,M12+1)</f>
        <v/>
      </c>
      <c r="O12" s="8">
        <f>IF(L12=$L$4,VLOOKUP(K12,$B$16:$D$40,3,FALSE),0)</f>
        <v/>
      </c>
      <c r="R12" t="inlineStr">
        <is>
          <t>TOTAL DISTANCE</t>
        </is>
      </c>
      <c r="S12">
        <f>SUM(S9:S11)</f>
        <v/>
      </c>
      <c r="U12" t="inlineStr">
        <is>
          <t>TOTAL LOAD</t>
        </is>
      </c>
      <c r="V12">
        <f>SUM(V9:V11)</f>
        <v/>
      </c>
      <c r="AC12" s="30" t="n"/>
      <c r="AF12" s="8" t="inlineStr">
        <is>
          <t>A</t>
        </is>
      </c>
      <c r="AG12" s="8" t="n">
        <v>1</v>
      </c>
      <c r="AH12" s="8" t="n">
        <v>2</v>
      </c>
      <c r="AI12" s="8" t="n">
        <v>0</v>
      </c>
      <c r="AJ12" s="8" t="n">
        <v>0</v>
      </c>
      <c r="AK12" s="8" t="n">
        <v>0</v>
      </c>
      <c r="AM12" s="8" t="inlineStr">
        <is>
          <t>A</t>
        </is>
      </c>
      <c r="AN12" s="8" t="n">
        <v>1</v>
      </c>
      <c r="AO12" s="8" t="n">
        <v>2</v>
      </c>
      <c r="AP12" s="8" t="n">
        <v>1</v>
      </c>
      <c r="AQ12" s="8" t="n">
        <v>14</v>
      </c>
      <c r="AR12" s="8" t="n">
        <v>350</v>
      </c>
      <c r="AT12" s="8" t="inlineStr">
        <is>
          <t>A</t>
        </is>
      </c>
      <c r="AU12" s="8" t="n">
        <v>1</v>
      </c>
      <c r="AV12" s="8" t="n">
        <v>2</v>
      </c>
      <c r="AW12" s="8" t="n">
        <v>0</v>
      </c>
      <c r="AX12" s="8" t="n">
        <v>0</v>
      </c>
      <c r="AY12" s="8" t="n">
        <v>0</v>
      </c>
    </row>
    <row r="13">
      <c r="J13" s="5" t="inlineStr">
        <is>
          <t>E</t>
        </is>
      </c>
      <c r="K13" s="5" t="n">
        <v>5</v>
      </c>
      <c r="L13" s="8" t="n">
        <v>1</v>
      </c>
      <c r="M13" s="8">
        <f>IF($L$4=L13,K13,$M$8)</f>
        <v/>
      </c>
      <c r="N13" s="8">
        <f t="array" ref="N13">INDEX($B$45:$AA$70,M12+1,M13+1)</f>
        <v/>
      </c>
      <c r="O13" s="8">
        <f>IF(L13=$L$4,VLOOKUP(K13,$B$16:$D$40,3,FALSE),0)</f>
        <v/>
      </c>
      <c r="AC13" s="30" t="n"/>
      <c r="AF13" s="8" t="inlineStr">
        <is>
          <t>B</t>
        </is>
      </c>
      <c r="AG13" s="8" t="n">
        <v>2</v>
      </c>
      <c r="AH13" s="8" t="n">
        <v>2</v>
      </c>
      <c r="AI13" s="8" t="n">
        <v>0</v>
      </c>
      <c r="AJ13" s="8" t="n">
        <v>0</v>
      </c>
      <c r="AK13" s="8" t="n">
        <v>0</v>
      </c>
      <c r="AM13" s="8" t="inlineStr">
        <is>
          <t>B</t>
        </is>
      </c>
      <c r="AN13" s="8" t="n">
        <v>2</v>
      </c>
      <c r="AO13" s="8" t="n">
        <v>2</v>
      </c>
      <c r="AP13" s="8" t="n">
        <v>2</v>
      </c>
      <c r="AQ13" s="8" t="n">
        <v>17</v>
      </c>
      <c r="AR13" s="8" t="n">
        <v>280</v>
      </c>
      <c r="AT13" s="8" t="inlineStr">
        <is>
          <t>B</t>
        </is>
      </c>
      <c r="AU13" s="8" t="n">
        <v>2</v>
      </c>
      <c r="AV13" s="8" t="n">
        <v>2</v>
      </c>
      <c r="AW13" s="8" t="n">
        <v>0</v>
      </c>
      <c r="AX13" s="8" t="n">
        <v>0</v>
      </c>
      <c r="AY13" s="8" t="n">
        <v>0</v>
      </c>
    </row>
    <row r="14" ht="29" customHeight="1">
      <c r="A14" s="4" t="inlineStr">
        <is>
          <t>Kode</t>
        </is>
      </c>
      <c r="B14" s="4" t="inlineStr">
        <is>
          <t>Kode</t>
        </is>
      </c>
      <c r="C14" s="4" t="inlineStr">
        <is>
          <t>Lokasi</t>
        </is>
      </c>
      <c r="D14" s="4" t="inlineStr">
        <is>
          <t>Permintaan (kg)</t>
        </is>
      </c>
      <c r="J14" s="5" t="inlineStr">
        <is>
          <t>F</t>
        </is>
      </c>
      <c r="K14" s="5" t="n">
        <v>6</v>
      </c>
      <c r="L14" s="8" t="n">
        <v>1</v>
      </c>
      <c r="M14" s="8">
        <f>IF($L$4=L14,K14,$M$8)</f>
        <v/>
      </c>
      <c r="N14" s="8">
        <f t="array" ref="N14">INDEX($B$45:$AA$70,M13+1,M14+1)</f>
        <v/>
      </c>
      <c r="O14" s="8">
        <f>IF(L14=$L$4,VLOOKUP(K14,$B$16:$D$40,3,FALSE),0)</f>
        <v/>
      </c>
      <c r="AC14" s="30" t="n"/>
      <c r="AF14" s="8" t="inlineStr">
        <is>
          <t>C</t>
        </is>
      </c>
      <c r="AG14" s="8" t="n">
        <v>3</v>
      </c>
      <c r="AH14" s="8" t="n">
        <v>2</v>
      </c>
      <c r="AI14" s="8" t="n">
        <v>0</v>
      </c>
      <c r="AJ14" s="8" t="n">
        <v>0</v>
      </c>
      <c r="AK14" s="8" t="n">
        <v>0</v>
      </c>
      <c r="AM14" s="8" t="inlineStr">
        <is>
          <t>C</t>
        </is>
      </c>
      <c r="AN14" s="8" t="n">
        <v>3</v>
      </c>
      <c r="AO14" s="8" t="n">
        <v>2</v>
      </c>
      <c r="AP14" s="8" t="n">
        <v>3</v>
      </c>
      <c r="AQ14" s="8" t="n">
        <v>15</v>
      </c>
      <c r="AR14" s="8" t="n">
        <v>320</v>
      </c>
      <c r="AT14" s="8" t="inlineStr">
        <is>
          <t>C</t>
        </is>
      </c>
      <c r="AU14" s="8" t="n">
        <v>3</v>
      </c>
      <c r="AV14" s="8" t="n">
        <v>2</v>
      </c>
      <c r="AW14" s="8" t="n">
        <v>0</v>
      </c>
      <c r="AX14" s="8" t="n">
        <v>0</v>
      </c>
      <c r="AY14" s="8" t="n">
        <v>0</v>
      </c>
    </row>
    <row r="15">
      <c r="A15" s="8" t="n"/>
      <c r="B15" s="5" t="n">
        <v>0</v>
      </c>
      <c r="C15" s="5" t="inlineStr">
        <is>
          <t>Gudang</t>
        </is>
      </c>
      <c r="D15" s="5" t="n">
        <v>0</v>
      </c>
      <c r="J15" s="5" t="inlineStr">
        <is>
          <t>G</t>
        </is>
      </c>
      <c r="K15" s="5" t="n">
        <v>7</v>
      </c>
      <c r="L15" s="8" t="n">
        <v>1</v>
      </c>
      <c r="M15" s="8">
        <f>IF($L$4=L15,K15,$M$8)</f>
        <v/>
      </c>
      <c r="N15" s="8">
        <f t="array" ref="N15">INDEX($B$45:$AA$70,M14+1,M15+1)</f>
        <v/>
      </c>
      <c r="O15" s="8">
        <f>IF(L15=$L$4,VLOOKUP(K15,$B$16:$D$40,3,FALSE),0)</f>
        <v/>
      </c>
      <c r="AC15" s="30" t="n"/>
      <c r="AF15" s="8" t="inlineStr">
        <is>
          <t>D</t>
        </is>
      </c>
      <c r="AG15" s="8" t="n">
        <v>4</v>
      </c>
      <c r="AH15" s="8" t="n">
        <v>1</v>
      </c>
      <c r="AI15" s="8" t="n">
        <v>4</v>
      </c>
      <c r="AJ15" s="8" t="n">
        <v>24</v>
      </c>
      <c r="AK15" s="8" t="n">
        <v>400</v>
      </c>
      <c r="AM15" s="8" t="inlineStr">
        <is>
          <t>D</t>
        </is>
      </c>
      <c r="AN15" s="8" t="n">
        <v>4</v>
      </c>
      <c r="AO15" s="8" t="n">
        <v>1</v>
      </c>
      <c r="AP15" s="8" t="n">
        <v>0</v>
      </c>
      <c r="AQ15" s="8" t="n">
        <v>0</v>
      </c>
      <c r="AR15" s="8" t="n">
        <v>0</v>
      </c>
      <c r="AT15" s="8" t="inlineStr">
        <is>
          <t>D</t>
        </is>
      </c>
      <c r="AU15" s="8" t="n">
        <v>4</v>
      </c>
      <c r="AV15" s="8" t="n">
        <v>1</v>
      </c>
      <c r="AW15" s="8" t="n">
        <v>0</v>
      </c>
      <c r="AX15" s="8" t="n">
        <v>0</v>
      </c>
      <c r="AY15" s="8" t="n">
        <v>0</v>
      </c>
    </row>
    <row r="16">
      <c r="A16" s="5" t="inlineStr">
        <is>
          <t>A</t>
        </is>
      </c>
      <c r="B16" s="5" t="n">
        <v>1</v>
      </c>
      <c r="C16" s="5" t="inlineStr">
        <is>
          <t>Mengwi</t>
        </is>
      </c>
      <c r="D16" s="5" t="n">
        <v>350</v>
      </c>
      <c r="J16" s="5" t="inlineStr">
        <is>
          <t>H</t>
        </is>
      </c>
      <c r="K16" s="5" t="n">
        <v>8</v>
      </c>
      <c r="L16" s="8" t="n">
        <v>1</v>
      </c>
      <c r="M16" s="8">
        <f>IF($L$4=L16,K16,$M$8)</f>
        <v/>
      </c>
      <c r="N16" s="8">
        <f t="array" ref="N16">INDEX($B$45:$AA$70,M15+1,M16+1)</f>
        <v/>
      </c>
      <c r="O16" s="8">
        <f>IF(L16=$L$4,VLOOKUP(K16,$B$16:$D$40,3,FALSE),0)</f>
        <v/>
      </c>
      <c r="R16" s="29" t="inlineStr">
        <is>
          <t>RUTE TRUK 1</t>
        </is>
      </c>
      <c r="S16" s="29" t="inlineStr">
        <is>
          <t>GUDANG - 4 - 5 - 6 - 7 - 8 -  9 - 21 - 22 - 23 - 24 - 25 - GUDANG</t>
        </is>
      </c>
      <c r="T16" s="29" t="n"/>
      <c r="U16" s="29" t="n"/>
      <c r="V16" s="29" t="n"/>
      <c r="AC16" s="30" t="n"/>
      <c r="AF16" s="8" t="inlineStr">
        <is>
          <t>E</t>
        </is>
      </c>
      <c r="AG16" s="8" t="n">
        <v>5</v>
      </c>
      <c r="AH16" s="8" t="n">
        <v>1</v>
      </c>
      <c r="AI16" s="8" t="n">
        <v>5</v>
      </c>
      <c r="AJ16" s="8" t="n">
        <v>17</v>
      </c>
      <c r="AK16" s="8" t="n">
        <v>450</v>
      </c>
      <c r="AM16" s="8" t="inlineStr">
        <is>
          <t>E</t>
        </is>
      </c>
      <c r="AN16" s="8" t="n">
        <v>5</v>
      </c>
      <c r="AO16" s="8" t="n">
        <v>1</v>
      </c>
      <c r="AP16" s="8" t="n">
        <v>0</v>
      </c>
      <c r="AQ16" s="8" t="n">
        <v>0</v>
      </c>
      <c r="AR16" s="8" t="n">
        <v>0</v>
      </c>
      <c r="AT16" s="8" t="inlineStr">
        <is>
          <t>E</t>
        </is>
      </c>
      <c r="AU16" s="8" t="n">
        <v>5</v>
      </c>
      <c r="AV16" s="8" t="n">
        <v>1</v>
      </c>
      <c r="AW16" s="8" t="n">
        <v>0</v>
      </c>
      <c r="AX16" s="8" t="n">
        <v>0</v>
      </c>
      <c r="AY16" s="8" t="n">
        <v>0</v>
      </c>
    </row>
    <row r="17">
      <c r="A17" s="5" t="inlineStr">
        <is>
          <t>B</t>
        </is>
      </c>
      <c r="B17" s="5" t="n">
        <v>2</v>
      </c>
      <c r="C17" s="5" t="inlineStr">
        <is>
          <t>Buduk</t>
        </is>
      </c>
      <c r="D17" s="5" t="n">
        <v>280</v>
      </c>
      <c r="J17" s="5" t="inlineStr">
        <is>
          <t>I</t>
        </is>
      </c>
      <c r="K17" s="5" t="n">
        <v>9</v>
      </c>
      <c r="L17" s="8" t="n">
        <v>1</v>
      </c>
      <c r="M17" s="8">
        <f>IF($L$4=L17,K17,$M$8)</f>
        <v/>
      </c>
      <c r="N17" s="8">
        <f t="array" ref="N17">INDEX($B$45:$AA$70,M16+1,M17+1)</f>
        <v/>
      </c>
      <c r="O17" s="8">
        <f>IF(L17=$L$4,VLOOKUP(K17,$B$16:$D$40,3,FALSE),0)</f>
        <v/>
      </c>
      <c r="R17" s="29" t="inlineStr">
        <is>
          <t>RUTE TRUK 2</t>
        </is>
      </c>
      <c r="S17" s="29" t="inlineStr">
        <is>
          <t>GUDANG - 1 - 2 - 3 - 14 - 15 - 16 - 17 - 18 - 19 - 20 - GUDANG</t>
        </is>
      </c>
      <c r="T17" s="29" t="n"/>
      <c r="U17" s="29" t="n"/>
      <c r="V17" s="29" t="n"/>
      <c r="AC17" s="30" t="n"/>
      <c r="AF17" s="8" t="inlineStr">
        <is>
          <t>F</t>
        </is>
      </c>
      <c r="AG17" s="8" t="n">
        <v>6</v>
      </c>
      <c r="AH17" s="8" t="n">
        <v>1</v>
      </c>
      <c r="AI17" s="8" t="n">
        <v>6</v>
      </c>
      <c r="AJ17" s="8" t="n">
        <v>21</v>
      </c>
      <c r="AK17" s="8" t="n">
        <v>500</v>
      </c>
      <c r="AM17" s="8" t="inlineStr">
        <is>
          <t>F</t>
        </is>
      </c>
      <c r="AN17" s="8" t="n">
        <v>6</v>
      </c>
      <c r="AO17" s="8" t="n">
        <v>1</v>
      </c>
      <c r="AP17" s="8" t="n">
        <v>0</v>
      </c>
      <c r="AQ17" s="8" t="n">
        <v>0</v>
      </c>
      <c r="AR17" s="8" t="n">
        <v>0</v>
      </c>
      <c r="AT17" s="8" t="inlineStr">
        <is>
          <t>F</t>
        </is>
      </c>
      <c r="AU17" s="8" t="n">
        <v>6</v>
      </c>
      <c r="AV17" s="8" t="n">
        <v>1</v>
      </c>
      <c r="AW17" s="8" t="n">
        <v>0</v>
      </c>
      <c r="AX17" s="8" t="n">
        <v>0</v>
      </c>
      <c r="AY17" s="8" t="n">
        <v>0</v>
      </c>
    </row>
    <row r="18">
      <c r="A18" s="5" t="inlineStr">
        <is>
          <t>C</t>
        </is>
      </c>
      <c r="B18" s="5" t="n">
        <v>3</v>
      </c>
      <c r="C18" s="5" t="inlineStr">
        <is>
          <t>Sempidi</t>
        </is>
      </c>
      <c r="D18" s="5" t="n">
        <v>320</v>
      </c>
      <c r="J18" s="5" t="inlineStr">
        <is>
          <t>J</t>
        </is>
      </c>
      <c r="K18" s="5" t="n">
        <v>10</v>
      </c>
      <c r="L18" s="8" t="n">
        <v>3</v>
      </c>
      <c r="M18" s="8">
        <f>IF($L$4=L18,K18,$M$8)</f>
        <v/>
      </c>
      <c r="N18" s="8">
        <f t="array" ref="N18">INDEX($B$45:$AA$70,M17+1,M18+1)</f>
        <v/>
      </c>
      <c r="O18" s="8">
        <f>IF(L18=$L$4,VLOOKUP(K18,$B$16:$D$40,3,FALSE),0)</f>
        <v/>
      </c>
      <c r="R18" s="29" t="inlineStr">
        <is>
          <t>RUTE TRUK 3</t>
        </is>
      </c>
      <c r="S18" s="29" t="inlineStr">
        <is>
          <t>GUDANG - 10 - 11 - 12 - 13 - GUDANG</t>
        </is>
      </c>
      <c r="T18" s="29" t="n"/>
      <c r="U18" s="29" t="n"/>
      <c r="V18" s="29" t="n"/>
      <c r="AC18" s="30" t="n"/>
      <c r="AF18" s="8" t="inlineStr">
        <is>
          <t>G</t>
        </is>
      </c>
      <c r="AG18" s="8" t="n">
        <v>7</v>
      </c>
      <c r="AH18" s="8" t="n">
        <v>1</v>
      </c>
      <c r="AI18" s="8" t="n">
        <v>7</v>
      </c>
      <c r="AJ18" s="8" t="n">
        <v>17</v>
      </c>
      <c r="AK18" s="8" t="n">
        <v>480</v>
      </c>
      <c r="AM18" s="8" t="inlineStr">
        <is>
          <t>G</t>
        </is>
      </c>
      <c r="AN18" s="8" t="n">
        <v>7</v>
      </c>
      <c r="AO18" s="8" t="n">
        <v>1</v>
      </c>
      <c r="AP18" s="8" t="n">
        <v>0</v>
      </c>
      <c r="AQ18" s="8" t="n">
        <v>0</v>
      </c>
      <c r="AR18" s="8" t="n">
        <v>0</v>
      </c>
      <c r="AT18" s="8" t="inlineStr">
        <is>
          <t>G</t>
        </is>
      </c>
      <c r="AU18" s="8" t="n">
        <v>7</v>
      </c>
      <c r="AV18" s="8" t="n">
        <v>1</v>
      </c>
      <c r="AW18" s="8" t="n">
        <v>0</v>
      </c>
      <c r="AX18" s="8" t="n">
        <v>0</v>
      </c>
      <c r="AY18" s="8" t="n">
        <v>0</v>
      </c>
    </row>
    <row r="19">
      <c r="A19" s="5" t="inlineStr">
        <is>
          <t>D</t>
        </is>
      </c>
      <c r="B19" s="5" t="n">
        <v>4</v>
      </c>
      <c r="C19" s="5" t="inlineStr">
        <is>
          <t>Dalung</t>
        </is>
      </c>
      <c r="D19" s="5" t="n">
        <v>400</v>
      </c>
      <c r="J19" s="5" t="inlineStr">
        <is>
          <t>K</t>
        </is>
      </c>
      <c r="K19" s="5" t="n">
        <v>11</v>
      </c>
      <c r="L19" s="8" t="n">
        <v>3</v>
      </c>
      <c r="M19" s="8">
        <f>IF($L$4=L19,K19,$M$8)</f>
        <v/>
      </c>
      <c r="N19" s="8">
        <f t="array" ref="N19">INDEX($B$45:$AA$70,M18+1,M19+1)</f>
        <v/>
      </c>
      <c r="O19" s="8">
        <f>IF(L19=$L$4,VLOOKUP(K19,$B$16:$D$40,3,FALSE),0)</f>
        <v/>
      </c>
      <c r="AC19" s="30" t="n"/>
      <c r="AF19" s="8" t="inlineStr">
        <is>
          <t>H</t>
        </is>
      </c>
      <c r="AG19" s="8" t="n">
        <v>8</v>
      </c>
      <c r="AH19" s="8" t="n">
        <v>1</v>
      </c>
      <c r="AI19" s="8" t="n">
        <v>8</v>
      </c>
      <c r="AJ19" s="8" t="n">
        <v>7</v>
      </c>
      <c r="AK19" s="8" t="n">
        <v>300</v>
      </c>
      <c r="AM19" s="8" t="inlineStr">
        <is>
          <t>H</t>
        </is>
      </c>
      <c r="AN19" s="8" t="n">
        <v>8</v>
      </c>
      <c r="AO19" s="8" t="n">
        <v>1</v>
      </c>
      <c r="AP19" s="8" t="n">
        <v>0</v>
      </c>
      <c r="AQ19" s="8" t="n">
        <v>0</v>
      </c>
      <c r="AR19" s="8" t="n">
        <v>0</v>
      </c>
      <c r="AT19" s="8" t="inlineStr">
        <is>
          <t>H</t>
        </is>
      </c>
      <c r="AU19" s="8" t="n">
        <v>8</v>
      </c>
      <c r="AV19" s="8" t="n">
        <v>1</v>
      </c>
      <c r="AW19" s="8" t="n">
        <v>0</v>
      </c>
      <c r="AX19" s="8" t="n">
        <v>0</v>
      </c>
      <c r="AY19" s="8" t="n">
        <v>0</v>
      </c>
    </row>
    <row r="20">
      <c r="A20" s="5" t="inlineStr">
        <is>
          <t>E</t>
        </is>
      </c>
      <c r="B20" s="5" t="n">
        <v>5</v>
      </c>
      <c r="C20" s="5" t="inlineStr">
        <is>
          <t>Tibubeneng</t>
        </is>
      </c>
      <c r="D20" s="5" t="n">
        <v>450</v>
      </c>
      <c r="J20" s="5" t="inlineStr">
        <is>
          <t>L</t>
        </is>
      </c>
      <c r="K20" s="5" t="n">
        <v>12</v>
      </c>
      <c r="L20" s="8" t="n">
        <v>3</v>
      </c>
      <c r="M20" s="8">
        <f>IF($L$4=L20,K20,$M$8)</f>
        <v/>
      </c>
      <c r="N20" s="8">
        <f t="array" ref="N20">INDEX($B$45:$AA$70,M19+1,M20+1)</f>
        <v/>
      </c>
      <c r="O20" s="8">
        <f>IF(L20=$L$4,VLOOKUP(K20,$B$16:$D$40,3,FALSE),0)</f>
        <v/>
      </c>
      <c r="AC20" s="30" t="n"/>
      <c r="AF20" s="8" t="inlineStr">
        <is>
          <t>I</t>
        </is>
      </c>
      <c r="AG20" s="8" t="n">
        <v>9</v>
      </c>
      <c r="AH20" s="8" t="n">
        <v>1</v>
      </c>
      <c r="AI20" s="8" t="n">
        <v>9</v>
      </c>
      <c r="AJ20" s="8" t="n">
        <v>15</v>
      </c>
      <c r="AK20" s="8" t="n">
        <v>420</v>
      </c>
      <c r="AM20" s="8" t="inlineStr">
        <is>
          <t>I</t>
        </is>
      </c>
      <c r="AN20" s="8" t="n">
        <v>9</v>
      </c>
      <c r="AO20" s="8" t="n">
        <v>1</v>
      </c>
      <c r="AP20" s="8" t="n">
        <v>0</v>
      </c>
      <c r="AQ20" s="8" t="n">
        <v>0</v>
      </c>
      <c r="AR20" s="8" t="n">
        <v>0</v>
      </c>
      <c r="AT20" s="8" t="inlineStr">
        <is>
          <t>I</t>
        </is>
      </c>
      <c r="AU20" s="8" t="n">
        <v>9</v>
      </c>
      <c r="AV20" s="8" t="n">
        <v>1</v>
      </c>
      <c r="AW20" s="8" t="n">
        <v>0</v>
      </c>
      <c r="AX20" s="8" t="n">
        <v>0</v>
      </c>
      <c r="AY20" s="8" t="n">
        <v>0</v>
      </c>
    </row>
    <row r="21">
      <c r="A21" s="5" t="inlineStr">
        <is>
          <t>F</t>
        </is>
      </c>
      <c r="B21" s="5" t="n">
        <v>6</v>
      </c>
      <c r="C21" s="5" t="inlineStr">
        <is>
          <t>Berawa</t>
        </is>
      </c>
      <c r="D21" s="5" t="n">
        <v>500</v>
      </c>
      <c r="J21" s="5" t="inlineStr">
        <is>
          <t>M</t>
        </is>
      </c>
      <c r="K21" s="5" t="n">
        <v>13</v>
      </c>
      <c r="L21" s="8" t="n">
        <v>3</v>
      </c>
      <c r="M21" s="8">
        <f>IF($L$4=L21,K21,$M$8)</f>
        <v/>
      </c>
      <c r="N21" s="8">
        <f t="array" ref="N21">INDEX($B$45:$AA$70,M20+1,M21+1)</f>
        <v/>
      </c>
      <c r="O21" s="8">
        <f>IF(L21=$L$4,VLOOKUP(K21,$B$16:$D$40,3,FALSE),0)</f>
        <v/>
      </c>
      <c r="AC21" s="30" t="n"/>
      <c r="AF21" s="8" t="inlineStr">
        <is>
          <t>J</t>
        </is>
      </c>
      <c r="AG21" s="8" t="n">
        <v>10</v>
      </c>
      <c r="AH21" s="8" t="n">
        <v>3</v>
      </c>
      <c r="AI21" s="8" t="n">
        <v>0</v>
      </c>
      <c r="AJ21" s="8" t="n">
        <v>0</v>
      </c>
      <c r="AK21" s="8" t="n">
        <v>0</v>
      </c>
      <c r="AM21" s="8" t="inlineStr">
        <is>
          <t>J</t>
        </is>
      </c>
      <c r="AN21" s="8" t="n">
        <v>10</v>
      </c>
      <c r="AO21" s="8" t="n">
        <v>3</v>
      </c>
      <c r="AP21" s="8" t="n">
        <v>0</v>
      </c>
      <c r="AQ21" s="8" t="n">
        <v>0</v>
      </c>
      <c r="AR21" s="8" t="n">
        <v>0</v>
      </c>
      <c r="AT21" s="8" t="inlineStr">
        <is>
          <t>J</t>
        </is>
      </c>
      <c r="AU21" s="8" t="n">
        <v>10</v>
      </c>
      <c r="AV21" s="8" t="n">
        <v>3</v>
      </c>
      <c r="AW21" s="8" t="n">
        <v>10</v>
      </c>
      <c r="AX21" s="8" t="n">
        <v>42</v>
      </c>
      <c r="AY21" s="8" t="n">
        <v>380</v>
      </c>
    </row>
    <row r="22">
      <c r="A22" s="5" t="inlineStr">
        <is>
          <t>G</t>
        </is>
      </c>
      <c r="B22" s="5" t="n">
        <v>7</v>
      </c>
      <c r="C22" s="5" t="inlineStr">
        <is>
          <t>Batu Bolong</t>
        </is>
      </c>
      <c r="D22" s="5" t="n">
        <v>480</v>
      </c>
      <c r="J22" s="5" t="inlineStr">
        <is>
          <t>N</t>
        </is>
      </c>
      <c r="K22" s="5" t="n">
        <v>14</v>
      </c>
      <c r="L22" s="8" t="n">
        <v>2</v>
      </c>
      <c r="M22" s="8">
        <f>IF($L$4=L22,K22,$M$8)</f>
        <v/>
      </c>
      <c r="N22" s="8">
        <f t="array" ref="N22">INDEX($B$45:$AA$70,M21+1,M22+1)</f>
        <v/>
      </c>
      <c r="O22" s="8">
        <f>IF(L22=$L$4,VLOOKUP(K22,$B$16:$D$40,3,FALSE),0)</f>
        <v/>
      </c>
      <c r="R22" t="inlineStr">
        <is>
          <t>RUTE TRUK 1: GUDANG - D - E - F - G - H - I - U - V - W - X - Y - GUDANG</t>
        </is>
      </c>
      <c r="AC22" s="30" t="n"/>
      <c r="AF22" s="8" t="inlineStr">
        <is>
          <t>K</t>
        </is>
      </c>
      <c r="AG22" s="8" t="n">
        <v>11</v>
      </c>
      <c r="AH22" s="8" t="n">
        <v>3</v>
      </c>
      <c r="AI22" s="8" t="n">
        <v>0</v>
      </c>
      <c r="AJ22" s="8" t="n">
        <v>0</v>
      </c>
      <c r="AK22" s="8" t="n">
        <v>0</v>
      </c>
      <c r="AM22" s="8" t="inlineStr">
        <is>
          <t>K</t>
        </is>
      </c>
      <c r="AN22" s="8" t="n">
        <v>11</v>
      </c>
      <c r="AO22" s="8" t="n">
        <v>3</v>
      </c>
      <c r="AP22" s="8" t="n">
        <v>0</v>
      </c>
      <c r="AQ22" s="8" t="n">
        <v>0</v>
      </c>
      <c r="AR22" s="8" t="n">
        <v>0</v>
      </c>
      <c r="AT22" s="8" t="inlineStr">
        <is>
          <t>K</t>
        </is>
      </c>
      <c r="AU22" s="8" t="n">
        <v>11</v>
      </c>
      <c r="AV22" s="8" t="n">
        <v>3</v>
      </c>
      <c r="AW22" s="8" t="n">
        <v>11</v>
      </c>
      <c r="AX22" s="8" t="n">
        <v>18</v>
      </c>
      <c r="AY22" s="8" t="n">
        <v>440</v>
      </c>
    </row>
    <row r="23">
      <c r="A23" s="5" t="inlineStr">
        <is>
          <t>H</t>
        </is>
      </c>
      <c r="B23" s="5" t="n">
        <v>8</v>
      </c>
      <c r="C23" s="5" t="inlineStr">
        <is>
          <t>Pererenan</t>
        </is>
      </c>
      <c r="D23" s="5" t="n">
        <v>300</v>
      </c>
      <c r="J23" s="5" t="inlineStr">
        <is>
          <t>O</t>
        </is>
      </c>
      <c r="K23" s="5" t="n">
        <v>15</v>
      </c>
      <c r="L23" s="8" t="n">
        <v>2</v>
      </c>
      <c r="M23" s="8">
        <f>IF($L$4=L23,K23,$M$8)</f>
        <v/>
      </c>
      <c r="N23" s="8">
        <f t="array" ref="N23">INDEX($B$45:$AA$70,M22+1,M23+1)</f>
        <v/>
      </c>
      <c r="O23" s="8">
        <f>IF(L23=$L$4,VLOOKUP(K23,$B$16:$D$40,3,FALSE),0)</f>
        <v/>
      </c>
      <c r="R23" t="inlineStr">
        <is>
          <t>RUTE TRUK 2: GUDANG - A - B - C - N - O - P - Q - R - S - T - GUDANG</t>
        </is>
      </c>
      <c r="AC23" s="30" t="n"/>
      <c r="AF23" s="8" t="inlineStr">
        <is>
          <t>L</t>
        </is>
      </c>
      <c r="AG23" s="8" t="n">
        <v>12</v>
      </c>
      <c r="AH23" s="8" t="n">
        <v>3</v>
      </c>
      <c r="AI23" s="8" t="n">
        <v>0</v>
      </c>
      <c r="AJ23" s="8" t="n">
        <v>0</v>
      </c>
      <c r="AK23" s="8" t="n">
        <v>0</v>
      </c>
      <c r="AM23" s="8" t="inlineStr">
        <is>
          <t>L</t>
        </is>
      </c>
      <c r="AN23" s="8" t="n">
        <v>12</v>
      </c>
      <c r="AO23" s="8" t="n">
        <v>3</v>
      </c>
      <c r="AP23" s="8" t="n">
        <v>0</v>
      </c>
      <c r="AQ23" s="8" t="n">
        <v>0</v>
      </c>
      <c r="AR23" s="8" t="n">
        <v>0</v>
      </c>
      <c r="AT23" s="8" t="inlineStr">
        <is>
          <t>L</t>
        </is>
      </c>
      <c r="AU23" s="8" t="n">
        <v>12</v>
      </c>
      <c r="AV23" s="8" t="n">
        <v>3</v>
      </c>
      <c r="AW23" s="8" t="n">
        <v>12</v>
      </c>
      <c r="AX23" s="8" t="n">
        <v>7</v>
      </c>
      <c r="AY23" s="8" t="n">
        <v>460</v>
      </c>
    </row>
    <row r="24">
      <c r="A24" s="5" t="inlineStr">
        <is>
          <t>I</t>
        </is>
      </c>
      <c r="B24" s="5" t="n">
        <v>9</v>
      </c>
      <c r="C24" s="5" t="inlineStr">
        <is>
          <t>Kerobokan</t>
        </is>
      </c>
      <c r="D24" s="5" t="n">
        <v>420</v>
      </c>
      <c r="J24" s="5" t="inlineStr">
        <is>
          <t>P</t>
        </is>
      </c>
      <c r="K24" s="5" t="n">
        <v>16</v>
      </c>
      <c r="L24" s="8" t="n">
        <v>2</v>
      </c>
      <c r="M24" s="8">
        <f>IF($L$4=L24,K24,$M$8)</f>
        <v/>
      </c>
      <c r="N24" s="8">
        <f t="array" ref="N24">INDEX($B$45:$AA$70,M23+1,M24+1)</f>
        <v/>
      </c>
      <c r="O24" s="8">
        <f>IF(L24=$L$4,VLOOKUP(K24,$B$16:$D$40,3,FALSE),0)</f>
        <v/>
      </c>
      <c r="R24" t="inlineStr">
        <is>
          <t>RUTE TRUK 3: GUDANG - J - K - L - M - GUDANG</t>
        </is>
      </c>
      <c r="AC24" s="30" t="n"/>
      <c r="AF24" s="8" t="inlineStr">
        <is>
          <t>M</t>
        </is>
      </c>
      <c r="AG24" s="8" t="n">
        <v>13</v>
      </c>
      <c r="AH24" s="8" t="n">
        <v>3</v>
      </c>
      <c r="AI24" s="8" t="n">
        <v>0</v>
      </c>
      <c r="AJ24" s="8" t="n">
        <v>0</v>
      </c>
      <c r="AK24" s="8" t="n">
        <v>0</v>
      </c>
      <c r="AM24" s="8" t="inlineStr">
        <is>
          <t>M</t>
        </is>
      </c>
      <c r="AN24" s="8" t="n">
        <v>13</v>
      </c>
      <c r="AO24" s="8" t="n">
        <v>3</v>
      </c>
      <c r="AP24" s="8" t="n">
        <v>0</v>
      </c>
      <c r="AQ24" s="8" t="n">
        <v>0</v>
      </c>
      <c r="AR24" s="8" t="n">
        <v>0</v>
      </c>
      <c r="AT24" s="8" t="inlineStr">
        <is>
          <t>M</t>
        </is>
      </c>
      <c r="AU24" s="8" t="n">
        <v>13</v>
      </c>
      <c r="AV24" s="8" t="n">
        <v>3</v>
      </c>
      <c r="AW24" s="8" t="n">
        <v>13</v>
      </c>
      <c r="AX24" s="8" t="n">
        <v>11</v>
      </c>
      <c r="AY24" s="8" t="n">
        <v>600</v>
      </c>
    </row>
    <row r="25">
      <c r="A25" s="5" t="inlineStr">
        <is>
          <t>J</t>
        </is>
      </c>
      <c r="B25" s="5" t="n">
        <v>10</v>
      </c>
      <c r="C25" s="5" t="inlineStr">
        <is>
          <t>Umalas</t>
        </is>
      </c>
      <c r="D25" s="5" t="n">
        <v>380</v>
      </c>
      <c r="J25" s="5" t="inlineStr">
        <is>
          <t>Q</t>
        </is>
      </c>
      <c r="K25" s="5" t="n">
        <v>17</v>
      </c>
      <c r="L25" s="8" t="n">
        <v>2</v>
      </c>
      <c r="M25" s="8">
        <f>IF($L$4=L25,K25,$M$8)</f>
        <v/>
      </c>
      <c r="N25" s="8">
        <f t="array" ref="N25">INDEX($B$45:$AA$70,M24+1,M25+1)</f>
        <v/>
      </c>
      <c r="O25" s="8">
        <f>IF(L25=$L$4,VLOOKUP(K25,$B$16:$D$40,3,FALSE),0)</f>
        <v/>
      </c>
      <c r="AC25" s="30" t="n"/>
      <c r="AF25" s="8" t="inlineStr">
        <is>
          <t>N</t>
        </is>
      </c>
      <c r="AG25" s="8" t="n">
        <v>14</v>
      </c>
      <c r="AH25" s="8" t="n">
        <v>2</v>
      </c>
      <c r="AI25" s="8" t="n">
        <v>0</v>
      </c>
      <c r="AJ25" s="8" t="n">
        <v>0</v>
      </c>
      <c r="AK25" s="8" t="n">
        <v>0</v>
      </c>
      <c r="AM25" s="8" t="inlineStr">
        <is>
          <t>N</t>
        </is>
      </c>
      <c r="AN25" s="8" t="n">
        <v>14</v>
      </c>
      <c r="AO25" s="8" t="n">
        <v>2</v>
      </c>
      <c r="AP25" s="8" t="n">
        <v>14</v>
      </c>
      <c r="AQ25" s="8" t="n">
        <v>50</v>
      </c>
      <c r="AR25" s="8" t="n">
        <v>550</v>
      </c>
      <c r="AT25" s="8" t="inlineStr">
        <is>
          <t>N</t>
        </is>
      </c>
      <c r="AU25" s="8" t="n">
        <v>14</v>
      </c>
      <c r="AV25" s="8" t="n">
        <v>2</v>
      </c>
      <c r="AW25" s="8" t="n">
        <v>0</v>
      </c>
      <c r="AX25" s="8" t="n">
        <v>0</v>
      </c>
      <c r="AY25" s="8" t="n">
        <v>0</v>
      </c>
    </row>
    <row r="26">
      <c r="A26" s="5" t="inlineStr">
        <is>
          <t>K</t>
        </is>
      </c>
      <c r="B26" s="5" t="n">
        <v>11</v>
      </c>
      <c r="C26" s="5" t="inlineStr">
        <is>
          <t>Nakula</t>
        </is>
      </c>
      <c r="D26" s="5" t="n">
        <v>440</v>
      </c>
      <c r="J26" s="5" t="inlineStr">
        <is>
          <t>R</t>
        </is>
      </c>
      <c r="K26" s="5" t="n">
        <v>18</v>
      </c>
      <c r="L26" s="8" t="n">
        <v>2</v>
      </c>
      <c r="M26" s="8">
        <f>IF($L$4=L26,K26,$M$8)</f>
        <v/>
      </c>
      <c r="N26" s="8">
        <f t="array" ref="N26">INDEX($B$45:$AA$70,M25+1,M26+1)</f>
        <v/>
      </c>
      <c r="O26" s="8">
        <f>IF(L26=$L$4,VLOOKUP(K26,$B$16:$D$40,3,FALSE),0)</f>
        <v/>
      </c>
      <c r="AC26" s="30" t="n"/>
      <c r="AF26" s="8" t="inlineStr">
        <is>
          <t>O</t>
        </is>
      </c>
      <c r="AG26" s="8" t="n">
        <v>15</v>
      </c>
      <c r="AH26" s="8" t="n">
        <v>2</v>
      </c>
      <c r="AI26" s="8" t="n">
        <v>0</v>
      </c>
      <c r="AJ26" s="8" t="n">
        <v>0</v>
      </c>
      <c r="AK26" s="8" t="n">
        <v>0</v>
      </c>
      <c r="AM26" s="8" t="inlineStr">
        <is>
          <t>O</t>
        </is>
      </c>
      <c r="AN26" s="8" t="n">
        <v>15</v>
      </c>
      <c r="AO26" s="8" t="n">
        <v>2</v>
      </c>
      <c r="AP26" s="8" t="n">
        <v>15</v>
      </c>
      <c r="AQ26" s="8" t="n">
        <v>12</v>
      </c>
      <c r="AR26" s="8" t="n">
        <v>580</v>
      </c>
      <c r="AT26" s="8" t="inlineStr">
        <is>
          <t>O</t>
        </is>
      </c>
      <c r="AU26" s="8" t="n">
        <v>15</v>
      </c>
      <c r="AV26" s="8" t="n">
        <v>2</v>
      </c>
      <c r="AW26" s="8" t="n">
        <v>0</v>
      </c>
      <c r="AX26" s="8" t="n">
        <v>0</v>
      </c>
      <c r="AY26" s="8" t="n">
        <v>0</v>
      </c>
    </row>
    <row r="27">
      <c r="A27" s="5" t="inlineStr">
        <is>
          <t>L</t>
        </is>
      </c>
      <c r="B27" s="5" t="n">
        <v>12</v>
      </c>
      <c r="C27" s="5" t="inlineStr">
        <is>
          <t>Dewi Sri</t>
        </is>
      </c>
      <c r="D27" s="5" t="n">
        <v>460</v>
      </c>
      <c r="J27" s="5" t="inlineStr">
        <is>
          <t>S</t>
        </is>
      </c>
      <c r="K27" s="5" t="n">
        <v>19</v>
      </c>
      <c r="L27" s="8" t="n">
        <v>2</v>
      </c>
      <c r="M27" s="8">
        <f>IF($L$4=L27,K27,$M$8)</f>
        <v/>
      </c>
      <c r="N27" s="8">
        <f t="array" ref="N27">INDEX($B$45:$AA$70,M26+1,M27+1)</f>
        <v/>
      </c>
      <c r="O27" s="8">
        <f>IF(L27=$L$4,VLOOKUP(K27,$B$16:$D$40,3,FALSE),0)</f>
        <v/>
      </c>
      <c r="AC27" s="30" t="n"/>
      <c r="AF27" s="8" t="inlineStr">
        <is>
          <t>P</t>
        </is>
      </c>
      <c r="AG27" s="8" t="n">
        <v>16</v>
      </c>
      <c r="AH27" s="8" t="n">
        <v>2</v>
      </c>
      <c r="AI27" s="8" t="n">
        <v>0</v>
      </c>
      <c r="AJ27" s="8" t="n">
        <v>0</v>
      </c>
      <c r="AK27" s="8" t="n">
        <v>0</v>
      </c>
      <c r="AM27" s="8" t="inlineStr">
        <is>
          <t>P</t>
        </is>
      </c>
      <c r="AN27" s="8" t="n">
        <v>16</v>
      </c>
      <c r="AO27" s="8" t="n">
        <v>2</v>
      </c>
      <c r="AP27" s="8" t="n">
        <v>16</v>
      </c>
      <c r="AQ27" s="8" t="n">
        <v>19</v>
      </c>
      <c r="AR27" s="8" t="n">
        <v>360</v>
      </c>
      <c r="AT27" s="8" t="inlineStr">
        <is>
          <t>P</t>
        </is>
      </c>
      <c r="AU27" s="8" t="n">
        <v>16</v>
      </c>
      <c r="AV27" s="8" t="n">
        <v>2</v>
      </c>
      <c r="AW27" s="8" t="n">
        <v>0</v>
      </c>
      <c r="AX27" s="8" t="n">
        <v>0</v>
      </c>
      <c r="AY27" s="8" t="n">
        <v>0</v>
      </c>
    </row>
    <row r="28">
      <c r="A28" s="5" t="inlineStr">
        <is>
          <t>M</t>
        </is>
      </c>
      <c r="B28" s="5" t="n">
        <v>13</v>
      </c>
      <c r="C28" s="5" t="inlineStr">
        <is>
          <t>Kuta</t>
        </is>
      </c>
      <c r="D28" s="5" t="n">
        <v>600</v>
      </c>
      <c r="J28" s="5" t="inlineStr">
        <is>
          <t>T</t>
        </is>
      </c>
      <c r="K28" s="5" t="n">
        <v>20</v>
      </c>
      <c r="L28" s="8" t="n">
        <v>2</v>
      </c>
      <c r="M28" s="8">
        <f>IF($L$4=L28,K28,$M$8)</f>
        <v/>
      </c>
      <c r="N28" s="8">
        <f t="array" ref="N28">INDEX($B$45:$AA$70,M27+1,M28+1)</f>
        <v/>
      </c>
      <c r="O28" s="8">
        <f>IF(L28=$L$4,VLOOKUP(K28,$B$16:$D$40,3,FALSE),0)</f>
        <v/>
      </c>
      <c r="AC28" s="30" t="n"/>
      <c r="AF28" s="8" t="inlineStr">
        <is>
          <t>Q</t>
        </is>
      </c>
      <c r="AG28" s="8" t="n">
        <v>17</v>
      </c>
      <c r="AH28" s="8" t="n">
        <v>2</v>
      </c>
      <c r="AI28" s="8" t="n">
        <v>0</v>
      </c>
      <c r="AJ28" s="8" t="n">
        <v>0</v>
      </c>
      <c r="AK28" s="8" t="n">
        <v>0</v>
      </c>
      <c r="AM28" s="8" t="inlineStr">
        <is>
          <t>Q</t>
        </is>
      </c>
      <c r="AN28" s="8" t="n">
        <v>17</v>
      </c>
      <c r="AO28" s="8" t="n">
        <v>2</v>
      </c>
      <c r="AP28" s="8" t="n">
        <v>17</v>
      </c>
      <c r="AQ28" s="8" t="n">
        <v>15</v>
      </c>
      <c r="AR28" s="8" t="n">
        <v>340</v>
      </c>
      <c r="AT28" s="8" t="inlineStr">
        <is>
          <t>Q</t>
        </is>
      </c>
      <c r="AU28" s="8" t="n">
        <v>17</v>
      </c>
      <c r="AV28" s="8" t="n">
        <v>2</v>
      </c>
      <c r="AW28" s="8" t="n">
        <v>0</v>
      </c>
      <c r="AX28" s="8" t="n">
        <v>0</v>
      </c>
      <c r="AY28" s="8" t="n">
        <v>0</v>
      </c>
    </row>
    <row r="29">
      <c r="A29" s="5" t="inlineStr">
        <is>
          <t>N</t>
        </is>
      </c>
      <c r="B29" s="5" t="n">
        <v>14</v>
      </c>
      <c r="C29" s="5" t="inlineStr">
        <is>
          <t>Sunset Road</t>
        </is>
      </c>
      <c r="D29" s="5" t="n">
        <v>550</v>
      </c>
      <c r="J29" s="5" t="inlineStr">
        <is>
          <t>U</t>
        </is>
      </c>
      <c r="K29" s="5" t="n">
        <v>21</v>
      </c>
      <c r="L29" s="8" t="n">
        <v>1</v>
      </c>
      <c r="M29" s="8">
        <f>IF($L$4=L29,K29,$M$8)</f>
        <v/>
      </c>
      <c r="N29" s="8">
        <f t="array" ref="N29">INDEX($B$45:$AA$70,M28+1,M29+1)</f>
        <v/>
      </c>
      <c r="O29" s="8">
        <f>IF(L29=$L$4,VLOOKUP(K29,$B$16:$D$40,3,FALSE),0)</f>
        <v/>
      </c>
      <c r="AC29" s="30" t="n"/>
      <c r="AF29" s="8" t="inlineStr">
        <is>
          <t>R</t>
        </is>
      </c>
      <c r="AG29" s="8" t="n">
        <v>18</v>
      </c>
      <c r="AH29" s="8" t="n">
        <v>2</v>
      </c>
      <c r="AI29" s="8" t="n">
        <v>0</v>
      </c>
      <c r="AJ29" s="8" t="n">
        <v>0</v>
      </c>
      <c r="AK29" s="8" t="n">
        <v>0</v>
      </c>
      <c r="AM29" s="8" t="inlineStr">
        <is>
          <t>R</t>
        </is>
      </c>
      <c r="AN29" s="8" t="n">
        <v>18</v>
      </c>
      <c r="AO29" s="8" t="n">
        <v>2</v>
      </c>
      <c r="AP29" s="8" t="n">
        <v>18</v>
      </c>
      <c r="AQ29" s="8" t="n">
        <v>11</v>
      </c>
      <c r="AR29" s="8" t="n">
        <v>330</v>
      </c>
      <c r="AT29" s="8" t="inlineStr">
        <is>
          <t>R</t>
        </is>
      </c>
      <c r="AU29" s="8" t="n">
        <v>18</v>
      </c>
      <c r="AV29" s="8" t="n">
        <v>2</v>
      </c>
      <c r="AW29" s="8" t="n">
        <v>0</v>
      </c>
      <c r="AX29" s="8" t="n">
        <v>0</v>
      </c>
      <c r="AY29" s="8" t="n">
        <v>0</v>
      </c>
    </row>
    <row r="30">
      <c r="A30" s="5" t="inlineStr">
        <is>
          <t>O</t>
        </is>
      </c>
      <c r="B30" s="5" t="n">
        <v>15</v>
      </c>
      <c r="C30" s="5" t="inlineStr">
        <is>
          <t>Seminyak</t>
        </is>
      </c>
      <c r="D30" s="5" t="n">
        <v>580</v>
      </c>
      <c r="J30" s="5" t="inlineStr">
        <is>
          <t>V</t>
        </is>
      </c>
      <c r="K30" s="5" t="n">
        <v>22</v>
      </c>
      <c r="L30" s="8" t="n">
        <v>1</v>
      </c>
      <c r="M30" s="8">
        <f>IF($L$4=L30,K30,$M$8)</f>
        <v/>
      </c>
      <c r="N30" s="8">
        <f t="array" ref="N30">INDEX($B$45:$AA$70,M29+1,M30+1)</f>
        <v/>
      </c>
      <c r="O30" s="8">
        <f>IF(L30=$L$4,VLOOKUP(K30,$B$16:$D$40,3,FALSE),0)</f>
        <v/>
      </c>
      <c r="AC30" s="30" t="n"/>
      <c r="AF30" s="8" t="inlineStr">
        <is>
          <t>S</t>
        </is>
      </c>
      <c r="AG30" s="8" t="n">
        <v>19</v>
      </c>
      <c r="AH30" s="8" t="n">
        <v>2</v>
      </c>
      <c r="AI30" s="8" t="n">
        <v>0</v>
      </c>
      <c r="AJ30" s="8" t="n">
        <v>0</v>
      </c>
      <c r="AK30" s="8" t="n">
        <v>0</v>
      </c>
      <c r="AM30" s="8" t="inlineStr">
        <is>
          <t>S</t>
        </is>
      </c>
      <c r="AN30" s="8" t="n">
        <v>19</v>
      </c>
      <c r="AO30" s="8" t="n">
        <v>2</v>
      </c>
      <c r="AP30" s="8" t="n">
        <v>19</v>
      </c>
      <c r="AQ30" s="8" t="n">
        <v>29</v>
      </c>
      <c r="AR30" s="8" t="n">
        <v>290</v>
      </c>
      <c r="AT30" s="8" t="inlineStr">
        <is>
          <t>S</t>
        </is>
      </c>
      <c r="AU30" s="8" t="n">
        <v>19</v>
      </c>
      <c r="AV30" s="8" t="n">
        <v>2</v>
      </c>
      <c r="AW30" s="8" t="n">
        <v>0</v>
      </c>
      <c r="AX30" s="8" t="n">
        <v>0</v>
      </c>
      <c r="AY30" s="8" t="n">
        <v>0</v>
      </c>
    </row>
    <row r="31">
      <c r="A31" s="5" t="inlineStr">
        <is>
          <t>P</t>
        </is>
      </c>
      <c r="B31" s="5" t="n">
        <v>16</v>
      </c>
      <c r="C31" s="5" t="inlineStr">
        <is>
          <t>Jimbaran</t>
        </is>
      </c>
      <c r="D31" s="5" t="n">
        <v>360</v>
      </c>
      <c r="J31" s="5" t="inlineStr">
        <is>
          <t>W</t>
        </is>
      </c>
      <c r="K31" s="5" t="n">
        <v>23</v>
      </c>
      <c r="L31" s="8" t="n">
        <v>1</v>
      </c>
      <c r="M31" s="8">
        <f>IF($L$4=L31,K31,$M$8)</f>
        <v/>
      </c>
      <c r="N31" s="8">
        <f t="array" ref="N31">INDEX($B$45:$AA$70,M30+1,M31+1)</f>
        <v/>
      </c>
      <c r="O31" s="8">
        <f>IF(L31=$L$4,VLOOKUP(K31,$B$16:$D$40,3,FALSE),0)</f>
        <v/>
      </c>
      <c r="AC31" s="30" t="n"/>
      <c r="AF31" s="8" t="inlineStr">
        <is>
          <t>T</t>
        </is>
      </c>
      <c r="AG31" s="8" t="n">
        <v>20</v>
      </c>
      <c r="AH31" s="8" t="n">
        <v>2</v>
      </c>
      <c r="AI31" s="8" t="n">
        <v>0</v>
      </c>
      <c r="AJ31" s="8" t="n">
        <v>0</v>
      </c>
      <c r="AK31" s="8" t="n">
        <v>0</v>
      </c>
      <c r="AM31" s="8" t="inlineStr">
        <is>
          <t>T</t>
        </is>
      </c>
      <c r="AN31" s="8" t="n">
        <v>20</v>
      </c>
      <c r="AO31" s="8" t="n">
        <v>2</v>
      </c>
      <c r="AP31" s="8" t="n">
        <v>20</v>
      </c>
      <c r="AQ31" s="8" t="n">
        <v>15</v>
      </c>
      <c r="AR31" s="8" t="n">
        <v>270</v>
      </c>
      <c r="AT31" s="8" t="inlineStr">
        <is>
          <t>T</t>
        </is>
      </c>
      <c r="AU31" s="8" t="n">
        <v>20</v>
      </c>
      <c r="AV31" s="8" t="n">
        <v>2</v>
      </c>
      <c r="AW31" s="8" t="n">
        <v>0</v>
      </c>
      <c r="AX31" s="8" t="n">
        <v>0</v>
      </c>
      <c r="AY31" s="8" t="n">
        <v>0</v>
      </c>
    </row>
    <row r="32">
      <c r="A32" s="5" t="inlineStr">
        <is>
          <t>Q</t>
        </is>
      </c>
      <c r="B32" s="5" t="n">
        <v>17</v>
      </c>
      <c r="C32" s="5" t="inlineStr">
        <is>
          <t>Nusa Dua</t>
        </is>
      </c>
      <c r="D32" s="5" t="n">
        <v>340</v>
      </c>
      <c r="J32" s="5" t="inlineStr">
        <is>
          <t>X</t>
        </is>
      </c>
      <c r="K32" s="5" t="n">
        <v>24</v>
      </c>
      <c r="L32" s="8" t="n">
        <v>1</v>
      </c>
      <c r="M32" s="8">
        <f>IF($L$4=L32,K32,$M$8)</f>
        <v/>
      </c>
      <c r="N32" s="8">
        <f t="array" ref="N32">INDEX($B$45:$AA$70,M31+1,M32+1)</f>
        <v/>
      </c>
      <c r="O32" s="8">
        <f>IF(L32=$L$4,VLOOKUP(K32,$B$16:$D$40,3,FALSE),0)</f>
        <v/>
      </c>
      <c r="AC32" s="30" t="n"/>
      <c r="AF32" s="8" t="inlineStr">
        <is>
          <t>U</t>
        </is>
      </c>
      <c r="AG32" s="8" t="n">
        <v>21</v>
      </c>
      <c r="AH32" s="8" t="n">
        <v>1</v>
      </c>
      <c r="AI32" s="8" t="n">
        <v>21</v>
      </c>
      <c r="AJ32" s="8" t="n">
        <v>44</v>
      </c>
      <c r="AK32" s="8" t="n">
        <v>520</v>
      </c>
      <c r="AM32" s="8" t="inlineStr">
        <is>
          <t>U</t>
        </is>
      </c>
      <c r="AN32" s="8" t="n">
        <v>21</v>
      </c>
      <c r="AO32" s="8" t="n">
        <v>1</v>
      </c>
      <c r="AP32" s="8" t="n">
        <v>0</v>
      </c>
      <c r="AQ32" s="8" t="n">
        <v>0</v>
      </c>
      <c r="AR32" s="8" t="n">
        <v>0</v>
      </c>
      <c r="AT32" s="8" t="inlineStr">
        <is>
          <t>U</t>
        </is>
      </c>
      <c r="AU32" s="8" t="n">
        <v>21</v>
      </c>
      <c r="AV32" s="8" t="n">
        <v>1</v>
      </c>
      <c r="AW32" s="8" t="n">
        <v>0</v>
      </c>
      <c r="AX32" s="8" t="n">
        <v>0</v>
      </c>
      <c r="AY32" s="8" t="n">
        <v>0</v>
      </c>
    </row>
    <row r="33">
      <c r="A33" s="5" t="inlineStr">
        <is>
          <t>R</t>
        </is>
      </c>
      <c r="B33" s="5" t="n">
        <v>18</v>
      </c>
      <c r="C33" s="5" t="inlineStr">
        <is>
          <t>Benoa</t>
        </is>
      </c>
      <c r="D33" s="5" t="n">
        <v>330</v>
      </c>
      <c r="J33" s="5" t="inlineStr">
        <is>
          <t>Y</t>
        </is>
      </c>
      <c r="K33" s="5" t="n">
        <v>25</v>
      </c>
      <c r="L33" s="8" t="n">
        <v>1</v>
      </c>
      <c r="M33" s="8">
        <f>IF($L$4=L33,K33,$M$8)</f>
        <v/>
      </c>
      <c r="N33" s="8">
        <f t="array" ref="N33">INDEX($B$45:$AA$70,M32+1,M33+1)</f>
        <v/>
      </c>
      <c r="O33" s="8">
        <f>IF(L33=$L$4,VLOOKUP(K33,$B$16:$D$40,3,FALSE),0)</f>
        <v/>
      </c>
      <c r="AC33" s="30" t="n"/>
      <c r="AF33" s="8" t="inlineStr">
        <is>
          <t>V</t>
        </is>
      </c>
      <c r="AG33" s="8" t="n">
        <v>22</v>
      </c>
      <c r="AH33" s="8" t="n">
        <v>1</v>
      </c>
      <c r="AI33" s="8" t="n">
        <v>22</v>
      </c>
      <c r="AJ33" s="8" t="n">
        <v>21</v>
      </c>
      <c r="AK33" s="8" t="n">
        <v>500</v>
      </c>
      <c r="AM33" s="8" t="inlineStr">
        <is>
          <t>V</t>
        </is>
      </c>
      <c r="AN33" s="8" t="n">
        <v>22</v>
      </c>
      <c r="AO33" s="8" t="n">
        <v>1</v>
      </c>
      <c r="AP33" s="8" t="n">
        <v>0</v>
      </c>
      <c r="AQ33" s="8" t="n">
        <v>0</v>
      </c>
      <c r="AR33" s="8" t="n">
        <v>0</v>
      </c>
      <c r="AT33" s="8" t="inlineStr">
        <is>
          <t>V</t>
        </is>
      </c>
      <c r="AU33" s="8" t="n">
        <v>22</v>
      </c>
      <c r="AV33" s="8" t="n">
        <v>1</v>
      </c>
      <c r="AW33" s="8" t="n">
        <v>0</v>
      </c>
      <c r="AX33" s="8" t="n">
        <v>0</v>
      </c>
      <c r="AY33" s="8" t="n">
        <v>0</v>
      </c>
    </row>
    <row r="34" ht="29" customHeight="1">
      <c r="A34" s="5" t="inlineStr">
        <is>
          <t>S</t>
        </is>
      </c>
      <c r="B34" s="5" t="n">
        <v>19</v>
      </c>
      <c r="C34" s="5" t="inlineStr">
        <is>
          <t>Ungasan</t>
        </is>
      </c>
      <c r="D34" s="5" t="n">
        <v>290</v>
      </c>
      <c r="K34" s="86" t="inlineStr">
        <is>
          <t>DISTANCE</t>
        </is>
      </c>
      <c r="L34" s="136" t="n"/>
      <c r="M34" s="137" t="n"/>
      <c r="N34" s="8">
        <f>SUM(N9:N33)</f>
        <v/>
      </c>
      <c r="O34" s="8">
        <f>SUM(O9:O33)</f>
        <v/>
      </c>
      <c r="AC34" s="30" t="n"/>
      <c r="AF34" s="8" t="inlineStr">
        <is>
          <t>W</t>
        </is>
      </c>
      <c r="AG34" s="8" t="n">
        <v>23</v>
      </c>
      <c r="AH34" s="8" t="n">
        <v>1</v>
      </c>
      <c r="AI34" s="8" t="n">
        <v>23</v>
      </c>
      <c r="AJ34" s="8" t="n">
        <v>37</v>
      </c>
      <c r="AK34" s="8" t="n">
        <v>470</v>
      </c>
      <c r="AM34" s="8" t="inlineStr">
        <is>
          <t>W</t>
        </is>
      </c>
      <c r="AN34" s="8" t="n">
        <v>23</v>
      </c>
      <c r="AO34" s="8" t="n">
        <v>1</v>
      </c>
      <c r="AP34" s="8" t="n">
        <v>0</v>
      </c>
      <c r="AQ34" s="8" t="n">
        <v>0</v>
      </c>
      <c r="AR34" s="8" t="n">
        <v>0</v>
      </c>
      <c r="AT34" s="8" t="inlineStr">
        <is>
          <t>W</t>
        </is>
      </c>
      <c r="AU34" s="8" t="n">
        <v>23</v>
      </c>
      <c r="AV34" s="8" t="n">
        <v>1</v>
      </c>
      <c r="AW34" s="8" t="n">
        <v>0</v>
      </c>
      <c r="AX34" s="8" t="n">
        <v>0</v>
      </c>
      <c r="AY34" s="8" t="n">
        <v>0</v>
      </c>
    </row>
    <row r="35">
      <c r="A35" s="5" t="inlineStr">
        <is>
          <t>T</t>
        </is>
      </c>
      <c r="B35" s="5" t="n">
        <v>20</v>
      </c>
      <c r="C35" s="5" t="inlineStr">
        <is>
          <t>Pecatu</t>
        </is>
      </c>
      <c r="D35" s="5" t="n">
        <v>270</v>
      </c>
      <c r="AC35" s="30" t="n"/>
      <c r="AF35" s="8" t="inlineStr">
        <is>
          <t>X</t>
        </is>
      </c>
      <c r="AG35" s="8" t="n">
        <v>24</v>
      </c>
      <c r="AH35" s="8" t="n">
        <v>1</v>
      </c>
      <c r="AI35" s="8" t="n">
        <v>24</v>
      </c>
      <c r="AJ35" s="8" t="n">
        <v>9</v>
      </c>
      <c r="AK35" s="8" t="n">
        <v>490</v>
      </c>
      <c r="AM35" s="8" t="inlineStr">
        <is>
          <t>X</t>
        </is>
      </c>
      <c r="AN35" s="8" t="n">
        <v>24</v>
      </c>
      <c r="AO35" s="8" t="n">
        <v>1</v>
      </c>
      <c r="AP35" s="8" t="n">
        <v>0</v>
      </c>
      <c r="AQ35" s="8" t="n">
        <v>0</v>
      </c>
      <c r="AR35" s="8" t="n">
        <v>0</v>
      </c>
      <c r="AT35" s="8" t="inlineStr">
        <is>
          <t>X</t>
        </is>
      </c>
      <c r="AU35" s="8" t="n">
        <v>24</v>
      </c>
      <c r="AV35" s="8" t="n">
        <v>1</v>
      </c>
      <c r="AW35" s="8" t="n">
        <v>0</v>
      </c>
      <c r="AX35" s="8" t="n">
        <v>0</v>
      </c>
      <c r="AY35" s="8" t="n">
        <v>0</v>
      </c>
    </row>
    <row r="36">
      <c r="A36" s="5" t="inlineStr">
        <is>
          <t>U</t>
        </is>
      </c>
      <c r="B36" s="5" t="n">
        <v>21</v>
      </c>
      <c r="C36" s="5" t="inlineStr">
        <is>
          <t>Teuku Umar</t>
        </is>
      </c>
      <c r="D36" s="5" t="n">
        <v>520</v>
      </c>
      <c r="AC36" s="30" t="n"/>
      <c r="AF36" s="8" t="inlineStr">
        <is>
          <t>Y</t>
        </is>
      </c>
      <c r="AG36" s="8" t="n">
        <v>25</v>
      </c>
      <c r="AH36" s="8" t="n">
        <v>1</v>
      </c>
      <c r="AI36" s="8" t="n">
        <v>25</v>
      </c>
      <c r="AJ36" s="8" t="n">
        <v>15</v>
      </c>
      <c r="AK36" s="8" t="n">
        <v>410</v>
      </c>
      <c r="AM36" s="8" t="inlineStr">
        <is>
          <t>Y</t>
        </is>
      </c>
      <c r="AN36" s="8" t="n">
        <v>25</v>
      </c>
      <c r="AO36" s="8" t="n">
        <v>1</v>
      </c>
      <c r="AP36" s="8" t="n">
        <v>0</v>
      </c>
      <c r="AQ36" s="8" t="n">
        <v>0</v>
      </c>
      <c r="AR36" s="8" t="n">
        <v>0</v>
      </c>
      <c r="AT36" s="8" t="inlineStr">
        <is>
          <t>Y</t>
        </is>
      </c>
      <c r="AU36" s="8" t="n">
        <v>25</v>
      </c>
      <c r="AV36" s="8" t="n">
        <v>1</v>
      </c>
      <c r="AW36" s="8" t="n">
        <v>0</v>
      </c>
      <c r="AX36" s="8" t="n">
        <v>0</v>
      </c>
      <c r="AY36" s="8" t="n">
        <v>0</v>
      </c>
    </row>
    <row r="37" ht="14.5" customHeight="1">
      <c r="A37" s="5" t="inlineStr">
        <is>
          <t>V</t>
        </is>
      </c>
      <c r="B37" s="5" t="n">
        <v>22</v>
      </c>
      <c r="C37" s="5" t="inlineStr">
        <is>
          <t>Gatsu</t>
        </is>
      </c>
      <c r="D37" s="5" t="n">
        <v>500</v>
      </c>
      <c r="AC37" s="30" t="n"/>
      <c r="AF37" s="8" t="n"/>
      <c r="AG37" s="8" t="inlineStr">
        <is>
          <t>DISTANCE</t>
        </is>
      </c>
      <c r="AH37" s="8" t="n"/>
      <c r="AI37" s="8" t="n"/>
      <c r="AJ37" s="8">
        <f>SUM(AJ11:AJ36)</f>
        <v/>
      </c>
      <c r="AK37" s="8">
        <f>SUM(AK12:AK36)</f>
        <v/>
      </c>
      <c r="AM37" s="8" t="n"/>
      <c r="AN37" s="8" t="inlineStr">
        <is>
          <t>DISTANCE</t>
        </is>
      </c>
      <c r="AO37" s="8" t="n"/>
      <c r="AP37" s="8" t="n"/>
      <c r="AQ37" s="8">
        <f>SUM(AQ12:AQ36)</f>
        <v/>
      </c>
      <c r="AR37" s="8">
        <f>SUM(AR12:AR36)</f>
        <v/>
      </c>
      <c r="AT37" s="8" t="n"/>
      <c r="AU37" s="8" t="inlineStr">
        <is>
          <t>DISTANCE</t>
        </is>
      </c>
      <c r="AV37" s="8" t="n"/>
      <c r="AW37" s="8" t="n"/>
      <c r="AX37" s="8">
        <f>SUM(AX12:AX35)</f>
        <v/>
      </c>
      <c r="AY37" s="8">
        <f>SUM(AY13:AY35)</f>
        <v/>
      </c>
    </row>
    <row r="38">
      <c r="A38" s="5" t="inlineStr">
        <is>
          <t>W</t>
        </is>
      </c>
      <c r="B38" s="5" t="n">
        <v>23</v>
      </c>
      <c r="C38" s="5" t="inlineStr">
        <is>
          <t>Sanur</t>
        </is>
      </c>
      <c r="D38" s="5" t="n">
        <v>470</v>
      </c>
      <c r="AC38" s="30" t="n"/>
    </row>
    <row r="39">
      <c r="A39" s="5" t="inlineStr">
        <is>
          <t>X</t>
        </is>
      </c>
      <c r="B39" s="5" t="n">
        <v>24</v>
      </c>
      <c r="C39" s="5" t="inlineStr">
        <is>
          <t>Renon</t>
        </is>
      </c>
      <c r="D39" s="5" t="n">
        <v>490</v>
      </c>
      <c r="AC39" s="30" t="n"/>
    </row>
    <row r="40">
      <c r="A40" s="5" t="inlineStr">
        <is>
          <t>Y</t>
        </is>
      </c>
      <c r="B40" s="5" t="n">
        <v>25</v>
      </c>
      <c r="C40" s="5" t="inlineStr">
        <is>
          <t>Sesetan</t>
        </is>
      </c>
      <c r="D40" s="5" t="n">
        <v>410</v>
      </c>
      <c r="AC40" s="30" t="n"/>
    </row>
    <row r="41">
      <c r="AC41" s="30" t="n"/>
    </row>
    <row r="42">
      <c r="AC42" s="30" t="n"/>
    </row>
    <row r="43">
      <c r="A43" s="122" t="inlineStr">
        <is>
          <t>TABEL OD MATRIX WAKTU (MENIT)</t>
        </is>
      </c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6" t="n"/>
      <c r="Y43" s="136" t="n"/>
      <c r="Z43" s="136" t="n"/>
      <c r="AA43" s="137" t="n"/>
      <c r="AC43" s="30" t="n"/>
    </row>
    <row r="44">
      <c r="A44" s="4" t="n"/>
      <c r="B44" s="4" t="inlineStr">
        <is>
          <t>GUDANG</t>
        </is>
      </c>
      <c r="C44" s="4" t="inlineStr">
        <is>
          <t>A</t>
        </is>
      </c>
      <c r="D44" s="4" t="inlineStr">
        <is>
          <t>B</t>
        </is>
      </c>
      <c r="E44" s="4" t="inlineStr">
        <is>
          <t>C</t>
        </is>
      </c>
      <c r="F44" s="4" t="inlineStr">
        <is>
          <t>D</t>
        </is>
      </c>
      <c r="G44" s="4" t="inlineStr">
        <is>
          <t>E</t>
        </is>
      </c>
      <c r="H44" s="4" t="inlineStr">
        <is>
          <t>F</t>
        </is>
      </c>
      <c r="I44" s="4" t="inlineStr">
        <is>
          <t>G</t>
        </is>
      </c>
      <c r="J44" s="4" t="inlineStr">
        <is>
          <t>H</t>
        </is>
      </c>
      <c r="K44" s="4" t="inlineStr">
        <is>
          <t>I</t>
        </is>
      </c>
      <c r="L44" s="4" t="inlineStr">
        <is>
          <t>J</t>
        </is>
      </c>
      <c r="M44" s="4" t="inlineStr">
        <is>
          <t>K</t>
        </is>
      </c>
      <c r="N44" s="4" t="inlineStr">
        <is>
          <t>L</t>
        </is>
      </c>
      <c r="O44" s="4" t="inlineStr">
        <is>
          <t>M</t>
        </is>
      </c>
      <c r="P44" s="4" t="inlineStr">
        <is>
          <t>N</t>
        </is>
      </c>
      <c r="Q44" s="4" t="inlineStr">
        <is>
          <t>O</t>
        </is>
      </c>
      <c r="R44" s="4" t="inlineStr">
        <is>
          <t>P</t>
        </is>
      </c>
      <c r="S44" s="4" t="inlineStr">
        <is>
          <t>Q</t>
        </is>
      </c>
      <c r="T44" s="4" t="inlineStr">
        <is>
          <t>R</t>
        </is>
      </c>
      <c r="U44" s="4" t="inlineStr">
        <is>
          <t>S</t>
        </is>
      </c>
      <c r="V44" s="4" t="inlineStr">
        <is>
          <t>T</t>
        </is>
      </c>
      <c r="W44" s="4" t="inlineStr">
        <is>
          <t>U</t>
        </is>
      </c>
      <c r="X44" s="4" t="inlineStr">
        <is>
          <t>V</t>
        </is>
      </c>
      <c r="Y44" s="4" t="inlineStr">
        <is>
          <t>W</t>
        </is>
      </c>
      <c r="Z44" s="4" t="inlineStr">
        <is>
          <t>X</t>
        </is>
      </c>
      <c r="AA44" s="4" t="inlineStr">
        <is>
          <t>Y</t>
        </is>
      </c>
      <c r="AC44" s="30" t="n"/>
    </row>
    <row r="45">
      <c r="A45" s="6" t="inlineStr">
        <is>
          <t>GUDANG</t>
        </is>
      </c>
      <c r="B45" s="7" t="n">
        <v>0</v>
      </c>
      <c r="C45" s="8" t="n">
        <v>14</v>
      </c>
      <c r="D45" s="8" t="n">
        <v>25</v>
      </c>
      <c r="E45" s="8" t="n">
        <v>23</v>
      </c>
      <c r="F45" s="8" t="n">
        <v>24</v>
      </c>
      <c r="G45" s="8" t="n">
        <v>34</v>
      </c>
      <c r="H45" s="8" t="n">
        <v>35</v>
      </c>
      <c r="I45" s="8" t="n">
        <v>36</v>
      </c>
      <c r="J45" s="8" t="n">
        <v>31</v>
      </c>
      <c r="K45" s="8" t="n">
        <v>36</v>
      </c>
      <c r="L45" s="8" t="n">
        <v>42</v>
      </c>
      <c r="M45" s="8" t="n">
        <v>51</v>
      </c>
      <c r="N45" s="8" t="n">
        <v>53</v>
      </c>
      <c r="O45" s="8" t="n">
        <v>58</v>
      </c>
      <c r="P45" s="8" t="n">
        <v>50</v>
      </c>
      <c r="Q45" s="8" t="n">
        <v>47</v>
      </c>
      <c r="R45" s="8" t="n">
        <v>65</v>
      </c>
      <c r="S45" s="8" t="n">
        <v>65</v>
      </c>
      <c r="T45" s="8" t="n">
        <v>75</v>
      </c>
      <c r="U45" s="8" t="n">
        <v>68</v>
      </c>
      <c r="V45" s="8" t="n">
        <v>79</v>
      </c>
      <c r="W45" s="8" t="n">
        <v>44</v>
      </c>
      <c r="X45" s="8" t="n">
        <v>34</v>
      </c>
      <c r="Y45" s="8" t="n">
        <v>49</v>
      </c>
      <c r="Z45" s="8" t="n">
        <v>52</v>
      </c>
      <c r="AA45" s="8" t="n">
        <v>49</v>
      </c>
      <c r="AC45" s="30" t="n"/>
    </row>
    <row r="46">
      <c r="A46" s="6" t="inlineStr">
        <is>
          <t>A</t>
        </is>
      </c>
      <c r="B46" s="8" t="n">
        <v>14</v>
      </c>
      <c r="C46" s="7" t="n">
        <v>0</v>
      </c>
      <c r="D46" s="5" t="n">
        <v>17</v>
      </c>
      <c r="E46" s="5" t="n">
        <v>19</v>
      </c>
      <c r="F46" s="5" t="n">
        <v>12</v>
      </c>
      <c r="G46" s="5" t="n">
        <v>26</v>
      </c>
      <c r="H46" s="5" t="n">
        <v>27</v>
      </c>
      <c r="I46" s="5" t="n">
        <v>33</v>
      </c>
      <c r="J46" s="5" t="n">
        <v>25</v>
      </c>
      <c r="K46" s="5" t="n">
        <v>30</v>
      </c>
      <c r="L46" s="5" t="n">
        <v>34</v>
      </c>
      <c r="M46" s="5" t="n">
        <v>44</v>
      </c>
      <c r="N46" s="5" t="n">
        <v>47</v>
      </c>
      <c r="O46" s="5" t="n">
        <v>46</v>
      </c>
      <c r="P46" s="5" t="n">
        <v>50</v>
      </c>
      <c r="Q46" s="5" t="n">
        <v>45</v>
      </c>
      <c r="R46" s="5" t="n">
        <v>59</v>
      </c>
      <c r="S46" s="5" t="n">
        <v>63</v>
      </c>
      <c r="T46" s="5" t="n">
        <v>71</v>
      </c>
      <c r="U46" s="5" t="n">
        <v>75</v>
      </c>
      <c r="V46" s="5" t="n">
        <v>64</v>
      </c>
      <c r="W46" s="5" t="n">
        <v>42</v>
      </c>
      <c r="X46" s="5" t="n">
        <v>27</v>
      </c>
      <c r="Y46" s="5" t="n">
        <v>43</v>
      </c>
      <c r="Z46" s="5" t="n">
        <v>47</v>
      </c>
      <c r="AA46" s="5" t="n">
        <v>49</v>
      </c>
      <c r="AC46" s="30" t="n"/>
    </row>
    <row r="47">
      <c r="A47" s="6" t="inlineStr">
        <is>
          <t>B</t>
        </is>
      </c>
      <c r="B47" s="8" t="n">
        <v>25</v>
      </c>
      <c r="C47" s="5" t="n">
        <v>17</v>
      </c>
      <c r="D47" s="7" t="n">
        <v>0</v>
      </c>
      <c r="E47" s="5" t="n">
        <v>15</v>
      </c>
      <c r="F47" s="5" t="n">
        <v>7</v>
      </c>
      <c r="G47" s="5" t="n">
        <v>15</v>
      </c>
      <c r="H47" s="5" t="n">
        <v>19</v>
      </c>
      <c r="I47" s="5" t="n">
        <v>17</v>
      </c>
      <c r="J47" s="5" t="n">
        <v>9</v>
      </c>
      <c r="K47" s="5" t="n">
        <v>18</v>
      </c>
      <c r="L47" s="5" t="n">
        <v>27</v>
      </c>
      <c r="M47" s="5" t="n">
        <v>33</v>
      </c>
      <c r="N47" s="5" t="n">
        <v>28</v>
      </c>
      <c r="O47" s="5" t="n">
        <v>38</v>
      </c>
      <c r="P47" s="5" t="n">
        <v>41</v>
      </c>
      <c r="Q47" s="5" t="n">
        <v>34</v>
      </c>
      <c r="R47" s="5" t="n">
        <v>42</v>
      </c>
      <c r="S47" s="5" t="n">
        <v>44</v>
      </c>
      <c r="T47" s="5" t="n">
        <v>53</v>
      </c>
      <c r="U47" s="5" t="n">
        <v>46</v>
      </c>
      <c r="V47" s="5" t="n">
        <v>67</v>
      </c>
      <c r="W47" s="5" t="n">
        <v>37</v>
      </c>
      <c r="X47" s="5" t="n">
        <v>21</v>
      </c>
      <c r="Y47" s="5" t="n">
        <v>44</v>
      </c>
      <c r="Z47" s="5" t="n">
        <v>55</v>
      </c>
      <c r="AA47" s="5" t="n">
        <v>30</v>
      </c>
      <c r="AC47" s="30" t="n"/>
    </row>
    <row r="48">
      <c r="A48" s="6" t="inlineStr">
        <is>
          <t>C</t>
        </is>
      </c>
      <c r="B48" s="8" t="n">
        <v>23</v>
      </c>
      <c r="C48" s="5" t="n">
        <v>19</v>
      </c>
      <c r="D48" s="5" t="n">
        <v>15</v>
      </c>
      <c r="E48" s="7" t="n">
        <v>0</v>
      </c>
      <c r="F48" s="5" t="n">
        <v>6</v>
      </c>
      <c r="G48" s="5" t="n">
        <v>13</v>
      </c>
      <c r="H48" s="5" t="n">
        <v>14</v>
      </c>
      <c r="I48" s="5" t="n">
        <v>18</v>
      </c>
      <c r="J48" s="5" t="n">
        <v>16</v>
      </c>
      <c r="K48" s="5" t="n">
        <v>12</v>
      </c>
      <c r="L48" s="5" t="n">
        <v>21</v>
      </c>
      <c r="M48" s="5" t="n">
        <v>27</v>
      </c>
      <c r="N48" s="5" t="n">
        <v>29</v>
      </c>
      <c r="O48" s="5" t="n">
        <v>27</v>
      </c>
      <c r="P48" s="5" t="n">
        <v>27</v>
      </c>
      <c r="Q48" s="5" t="n">
        <v>24</v>
      </c>
      <c r="R48" s="5" t="n">
        <v>41</v>
      </c>
      <c r="S48" s="5" t="n">
        <v>42</v>
      </c>
      <c r="T48" s="5" t="n">
        <v>50</v>
      </c>
      <c r="U48" s="5" t="n">
        <v>43</v>
      </c>
      <c r="V48" s="5" t="n">
        <v>54</v>
      </c>
      <c r="W48" s="5" t="n">
        <v>21</v>
      </c>
      <c r="X48" s="5" t="n">
        <v>10</v>
      </c>
      <c r="Y48" s="5" t="n">
        <v>30</v>
      </c>
      <c r="Z48" s="5" t="n">
        <v>28</v>
      </c>
      <c r="AA48" s="5" t="n">
        <v>25</v>
      </c>
      <c r="AC48" s="30" t="n"/>
    </row>
    <row r="49">
      <c r="A49" s="6" t="inlineStr">
        <is>
          <t>D</t>
        </is>
      </c>
      <c r="B49" s="8" t="n">
        <v>24</v>
      </c>
      <c r="C49" s="5" t="n">
        <v>12</v>
      </c>
      <c r="D49" s="5" t="n">
        <v>7</v>
      </c>
      <c r="E49" s="5" t="n">
        <v>6</v>
      </c>
      <c r="F49" s="7" t="n">
        <v>0</v>
      </c>
      <c r="G49" s="5" t="n">
        <v>17</v>
      </c>
      <c r="H49" s="5" t="n">
        <v>21</v>
      </c>
      <c r="I49" s="5" t="n">
        <v>24</v>
      </c>
      <c r="J49" s="5" t="n">
        <v>21</v>
      </c>
      <c r="K49" s="5" t="n">
        <v>20</v>
      </c>
      <c r="L49" s="5" t="n">
        <v>40</v>
      </c>
      <c r="M49" s="5" t="n">
        <v>35</v>
      </c>
      <c r="N49" s="5" t="n">
        <v>36</v>
      </c>
      <c r="O49" s="5" t="n">
        <v>37</v>
      </c>
      <c r="P49" s="5" t="n">
        <v>33</v>
      </c>
      <c r="Q49" s="5" t="n">
        <v>32</v>
      </c>
      <c r="R49" s="5" t="n">
        <v>50</v>
      </c>
      <c r="S49" s="5" t="n">
        <v>52</v>
      </c>
      <c r="T49" s="5" t="n">
        <v>60</v>
      </c>
      <c r="U49" s="5" t="n">
        <v>55</v>
      </c>
      <c r="V49" s="5" t="n">
        <v>63</v>
      </c>
      <c r="W49" s="5" t="n">
        <v>34</v>
      </c>
      <c r="X49" s="5" t="n">
        <v>20</v>
      </c>
      <c r="Y49" s="5" t="n">
        <v>43</v>
      </c>
      <c r="Z49" s="5" t="n">
        <v>40</v>
      </c>
      <c r="AA49" s="5" t="n">
        <v>38</v>
      </c>
      <c r="AC49" s="30" t="n"/>
    </row>
    <row r="50">
      <c r="A50" s="6" t="inlineStr">
        <is>
          <t>E</t>
        </is>
      </c>
      <c r="B50" s="8" t="n">
        <v>34</v>
      </c>
      <c r="C50" s="5" t="n">
        <v>26</v>
      </c>
      <c r="D50" s="5" t="n">
        <v>15</v>
      </c>
      <c r="E50" s="5" t="n">
        <v>13</v>
      </c>
      <c r="F50" s="5" t="n">
        <v>17</v>
      </c>
      <c r="G50" s="7" t="n">
        <v>0</v>
      </c>
      <c r="H50" s="5" t="n">
        <v>21</v>
      </c>
      <c r="I50" s="5" t="n">
        <v>24</v>
      </c>
      <c r="J50" s="5" t="n">
        <v>22</v>
      </c>
      <c r="K50" s="5" t="n">
        <v>20</v>
      </c>
      <c r="L50" s="5" t="n">
        <v>39</v>
      </c>
      <c r="M50" s="5" t="n">
        <v>35</v>
      </c>
      <c r="N50" s="5" t="n">
        <v>37</v>
      </c>
      <c r="O50" s="5" t="n">
        <v>33</v>
      </c>
      <c r="P50" s="5" t="n">
        <v>29</v>
      </c>
      <c r="Q50" s="5" t="n">
        <v>30</v>
      </c>
      <c r="R50" s="5" t="n">
        <v>55</v>
      </c>
      <c r="S50" s="5" t="n">
        <v>52</v>
      </c>
      <c r="T50" s="5" t="n">
        <v>51</v>
      </c>
      <c r="U50" s="5" t="n">
        <v>53</v>
      </c>
      <c r="V50" s="5" t="n">
        <v>52</v>
      </c>
      <c r="W50" s="5" t="n">
        <v>33</v>
      </c>
      <c r="X50" s="5" t="n">
        <v>20</v>
      </c>
      <c r="Y50" s="5" t="n">
        <v>42</v>
      </c>
      <c r="Z50" s="5" t="n">
        <v>40</v>
      </c>
      <c r="AA50" s="5" t="n">
        <v>38</v>
      </c>
      <c r="AC50" s="30" t="n"/>
    </row>
    <row r="51">
      <c r="A51" s="6" t="inlineStr">
        <is>
          <t>F</t>
        </is>
      </c>
      <c r="B51" s="8" t="n">
        <v>35</v>
      </c>
      <c r="C51" s="5" t="n">
        <v>27</v>
      </c>
      <c r="D51" s="5" t="n">
        <v>19</v>
      </c>
      <c r="E51" s="5" t="n">
        <v>14</v>
      </c>
      <c r="F51" s="5" t="n">
        <v>21</v>
      </c>
      <c r="G51" s="5" t="n">
        <v>21</v>
      </c>
      <c r="H51" s="7" t="n">
        <v>0</v>
      </c>
      <c r="I51" s="5" t="n">
        <v>17</v>
      </c>
      <c r="J51" s="5" t="n">
        <v>11</v>
      </c>
      <c r="K51" s="5" t="n">
        <v>21</v>
      </c>
      <c r="L51" s="5" t="n">
        <v>20</v>
      </c>
      <c r="M51" s="5" t="n">
        <v>30</v>
      </c>
      <c r="N51" s="5" t="n">
        <v>31</v>
      </c>
      <c r="O51" s="5" t="n">
        <v>32</v>
      </c>
      <c r="P51" s="5" t="n">
        <v>43</v>
      </c>
      <c r="Q51" s="5" t="n">
        <v>28</v>
      </c>
      <c r="R51" s="5" t="n">
        <v>47</v>
      </c>
      <c r="S51" s="5" t="n">
        <v>33</v>
      </c>
      <c r="T51" s="5" t="n">
        <v>41</v>
      </c>
      <c r="U51" s="5" t="n">
        <v>50</v>
      </c>
      <c r="V51" s="5" t="n">
        <v>58</v>
      </c>
      <c r="W51" s="5" t="n">
        <v>22</v>
      </c>
      <c r="X51" s="5" t="n">
        <v>12</v>
      </c>
      <c r="Y51" s="5" t="n">
        <v>43</v>
      </c>
      <c r="Z51" s="5" t="n">
        <v>41</v>
      </c>
      <c r="AA51" s="5" t="n">
        <v>48</v>
      </c>
      <c r="AC51" s="30" t="n"/>
    </row>
    <row r="52">
      <c r="A52" s="6" t="inlineStr">
        <is>
          <t>G</t>
        </is>
      </c>
      <c r="B52" s="8" t="n">
        <v>36</v>
      </c>
      <c r="C52" s="5" t="n">
        <v>33</v>
      </c>
      <c r="D52" s="5" t="n">
        <v>17</v>
      </c>
      <c r="E52" s="5" t="n">
        <v>18</v>
      </c>
      <c r="F52" s="5" t="n">
        <v>24</v>
      </c>
      <c r="G52" s="5" t="n">
        <v>24</v>
      </c>
      <c r="H52" s="5" t="n">
        <v>17</v>
      </c>
      <c r="I52" s="7" t="n">
        <v>0</v>
      </c>
      <c r="J52" s="5" t="n">
        <v>7</v>
      </c>
      <c r="K52" s="5" t="n">
        <v>14</v>
      </c>
      <c r="L52" s="5" t="n">
        <v>19</v>
      </c>
      <c r="M52" s="5" t="n">
        <v>24</v>
      </c>
      <c r="N52" s="5" t="n">
        <v>25</v>
      </c>
      <c r="O52" s="5" t="n">
        <v>25</v>
      </c>
      <c r="P52" s="5" t="n">
        <v>26</v>
      </c>
      <c r="Q52" s="5" t="n">
        <v>21</v>
      </c>
      <c r="R52" s="5" t="n">
        <v>39</v>
      </c>
      <c r="S52" s="5" t="n">
        <v>41</v>
      </c>
      <c r="T52" s="5" t="n">
        <v>49</v>
      </c>
      <c r="U52" s="5" t="n">
        <v>42</v>
      </c>
      <c r="V52" s="5" t="n">
        <v>51</v>
      </c>
      <c r="W52" s="5" t="n">
        <v>25</v>
      </c>
      <c r="X52" s="5" t="n">
        <v>15</v>
      </c>
      <c r="Y52" s="5" t="n">
        <v>36</v>
      </c>
      <c r="Z52" s="5" t="n">
        <v>35</v>
      </c>
      <c r="AA52" s="5" t="n">
        <v>30</v>
      </c>
      <c r="AC52" s="30" t="n"/>
    </row>
    <row r="53">
      <c r="A53" s="6" t="inlineStr">
        <is>
          <t>H</t>
        </is>
      </c>
      <c r="B53" s="8" t="n">
        <v>31</v>
      </c>
      <c r="C53" s="5" t="n">
        <v>25</v>
      </c>
      <c r="D53" s="5" t="n">
        <v>9</v>
      </c>
      <c r="E53" s="5" t="n">
        <v>16</v>
      </c>
      <c r="F53" s="5" t="n">
        <v>21</v>
      </c>
      <c r="G53" s="5" t="n">
        <v>22</v>
      </c>
      <c r="H53" s="5" t="n">
        <v>11</v>
      </c>
      <c r="I53" s="5" t="n">
        <v>7</v>
      </c>
      <c r="J53" s="7" t="n">
        <v>0</v>
      </c>
      <c r="K53" s="5" t="n">
        <v>15</v>
      </c>
      <c r="L53" s="5" t="n">
        <v>15</v>
      </c>
      <c r="M53" s="5" t="n">
        <v>24</v>
      </c>
      <c r="N53" s="5" t="n">
        <v>26</v>
      </c>
      <c r="O53" s="5" t="n">
        <v>27</v>
      </c>
      <c r="P53" s="5" t="n">
        <v>28</v>
      </c>
      <c r="Q53" s="5" t="n">
        <v>22</v>
      </c>
      <c r="R53" s="5" t="n">
        <v>40</v>
      </c>
      <c r="S53" s="5" t="n">
        <v>41</v>
      </c>
      <c r="T53" s="5" t="n">
        <v>50</v>
      </c>
      <c r="U53" s="5" t="n">
        <v>43</v>
      </c>
      <c r="V53" s="5" t="n">
        <v>51</v>
      </c>
      <c r="W53" s="5" t="n">
        <v>26</v>
      </c>
      <c r="X53" s="5" t="n">
        <v>16</v>
      </c>
      <c r="Y53" s="5" t="n">
        <v>36</v>
      </c>
      <c r="Z53" s="5" t="n">
        <v>35</v>
      </c>
      <c r="AA53" s="5" t="n">
        <v>31</v>
      </c>
      <c r="AC53" s="30" t="n"/>
    </row>
    <row r="54">
      <c r="A54" s="6" t="inlineStr">
        <is>
          <t>I</t>
        </is>
      </c>
      <c r="B54" s="8" t="n">
        <v>36</v>
      </c>
      <c r="C54" s="5" t="n">
        <v>30</v>
      </c>
      <c r="D54" s="5" t="n">
        <v>18</v>
      </c>
      <c r="E54" s="5" t="n">
        <v>12</v>
      </c>
      <c r="F54" s="5" t="n">
        <v>20</v>
      </c>
      <c r="G54" s="5" t="n">
        <v>20</v>
      </c>
      <c r="H54" s="5" t="n">
        <v>21</v>
      </c>
      <c r="I54" s="5" t="n">
        <v>14</v>
      </c>
      <c r="J54" s="5" t="n">
        <v>15</v>
      </c>
      <c r="K54" s="7" t="n">
        <v>0</v>
      </c>
      <c r="L54" s="5" t="n">
        <v>12</v>
      </c>
      <c r="M54" s="5" t="n">
        <v>17</v>
      </c>
      <c r="N54" s="5" t="n">
        <v>18</v>
      </c>
      <c r="O54" s="5" t="n">
        <v>19</v>
      </c>
      <c r="P54" s="5" t="n">
        <v>18</v>
      </c>
      <c r="Q54" s="5" t="n">
        <v>14</v>
      </c>
      <c r="R54" s="5" t="n">
        <v>33</v>
      </c>
      <c r="S54" s="5" t="n">
        <v>35</v>
      </c>
      <c r="T54" s="5" t="n">
        <v>42</v>
      </c>
      <c r="U54" s="5" t="n">
        <v>36</v>
      </c>
      <c r="V54" s="5" t="n">
        <v>45</v>
      </c>
      <c r="W54" s="5" t="n">
        <v>16</v>
      </c>
      <c r="X54" s="5" t="n">
        <v>3</v>
      </c>
      <c r="Y54" s="5" t="n">
        <v>27</v>
      </c>
      <c r="Z54" s="5" t="n">
        <v>25</v>
      </c>
      <c r="AA54" s="5" t="n">
        <v>22</v>
      </c>
      <c r="AC54" s="30" t="n"/>
    </row>
    <row r="55">
      <c r="A55" s="6" t="inlineStr">
        <is>
          <t>J</t>
        </is>
      </c>
      <c r="B55" s="8" t="n">
        <v>42</v>
      </c>
      <c r="C55" s="5" t="n">
        <v>34</v>
      </c>
      <c r="D55" s="5" t="n">
        <v>27</v>
      </c>
      <c r="E55" s="5" t="n">
        <v>21</v>
      </c>
      <c r="F55" s="5" t="n">
        <v>40</v>
      </c>
      <c r="G55" s="5" t="n">
        <v>39</v>
      </c>
      <c r="H55" s="5" t="n">
        <v>20</v>
      </c>
      <c r="I55" s="5" t="n">
        <v>19</v>
      </c>
      <c r="J55" s="5" t="n">
        <v>15</v>
      </c>
      <c r="K55" s="5" t="n">
        <v>12</v>
      </c>
      <c r="L55" s="7" t="n">
        <v>0</v>
      </c>
      <c r="M55" s="5" t="n">
        <v>18</v>
      </c>
      <c r="N55" s="5" t="n">
        <v>20</v>
      </c>
      <c r="O55" s="5" t="n">
        <v>22</v>
      </c>
      <c r="P55" s="5" t="n">
        <v>25</v>
      </c>
      <c r="Q55" s="5" t="n">
        <v>14</v>
      </c>
      <c r="R55" s="5" t="n">
        <v>41</v>
      </c>
      <c r="S55" s="5" t="n">
        <v>38</v>
      </c>
      <c r="T55" s="5" t="n">
        <v>50</v>
      </c>
      <c r="U55" s="5" t="n">
        <v>46</v>
      </c>
      <c r="V55" s="5" t="n">
        <v>63</v>
      </c>
      <c r="W55" s="5" t="n">
        <v>25</v>
      </c>
      <c r="X55" s="5" t="n">
        <v>17</v>
      </c>
      <c r="Y55" s="5" t="n">
        <v>44</v>
      </c>
      <c r="Z55" s="5" t="n">
        <v>45</v>
      </c>
      <c r="AA55" s="5" t="n">
        <v>34</v>
      </c>
      <c r="AC55" s="30" t="n"/>
    </row>
    <row r="56">
      <c r="A56" s="6" t="inlineStr">
        <is>
          <t>K</t>
        </is>
      </c>
      <c r="B56" s="8" t="n">
        <v>51</v>
      </c>
      <c r="C56" s="5" t="n">
        <v>44</v>
      </c>
      <c r="D56" s="5" t="n">
        <v>33</v>
      </c>
      <c r="E56" s="5" t="n">
        <v>27</v>
      </c>
      <c r="F56" s="5" t="n">
        <v>35</v>
      </c>
      <c r="G56" s="5" t="n">
        <v>35</v>
      </c>
      <c r="H56" s="5" t="n">
        <v>30</v>
      </c>
      <c r="I56" s="5" t="n">
        <v>24</v>
      </c>
      <c r="J56" s="5" t="n">
        <v>24</v>
      </c>
      <c r="K56" s="5" t="n">
        <v>17</v>
      </c>
      <c r="L56" s="5" t="n">
        <v>18</v>
      </c>
      <c r="M56" s="7" t="n">
        <v>0</v>
      </c>
      <c r="N56" s="5" t="n">
        <v>7</v>
      </c>
      <c r="O56" s="5" t="n">
        <v>4</v>
      </c>
      <c r="P56" s="5" t="n">
        <v>9</v>
      </c>
      <c r="Q56" s="5" t="n">
        <v>11</v>
      </c>
      <c r="R56" s="5" t="n">
        <v>24</v>
      </c>
      <c r="S56" s="5" t="n">
        <v>21</v>
      </c>
      <c r="T56" s="5" t="n">
        <v>39</v>
      </c>
      <c r="U56" s="5" t="n">
        <v>29</v>
      </c>
      <c r="V56" s="5" t="n">
        <v>46</v>
      </c>
      <c r="W56" s="5" t="n">
        <v>30</v>
      </c>
      <c r="X56" s="5" t="n">
        <v>37</v>
      </c>
      <c r="Y56" s="5" t="n">
        <v>53</v>
      </c>
      <c r="Z56" s="5" t="n">
        <v>26</v>
      </c>
      <c r="AA56" s="5" t="n">
        <v>34</v>
      </c>
      <c r="AC56" s="30" t="n"/>
    </row>
    <row r="57">
      <c r="A57" s="6" t="inlineStr">
        <is>
          <t>L</t>
        </is>
      </c>
      <c r="B57" s="8" t="n">
        <v>53</v>
      </c>
      <c r="C57" s="5" t="n">
        <v>47</v>
      </c>
      <c r="D57" s="5" t="n">
        <v>28</v>
      </c>
      <c r="E57" s="5" t="n">
        <v>29</v>
      </c>
      <c r="F57" s="5" t="n">
        <v>36</v>
      </c>
      <c r="G57" s="5" t="n">
        <v>37</v>
      </c>
      <c r="H57" s="5" t="n">
        <v>31</v>
      </c>
      <c r="I57" s="5" t="n">
        <v>25</v>
      </c>
      <c r="J57" s="5" t="n">
        <v>26</v>
      </c>
      <c r="K57" s="5" t="n">
        <v>18</v>
      </c>
      <c r="L57" s="5" t="n">
        <v>20</v>
      </c>
      <c r="M57" s="5" t="n">
        <v>7</v>
      </c>
      <c r="N57" s="7" t="n">
        <v>0</v>
      </c>
      <c r="O57" s="5" t="n">
        <v>11</v>
      </c>
      <c r="P57" s="5" t="n">
        <v>10</v>
      </c>
      <c r="Q57" s="5" t="n">
        <v>7</v>
      </c>
      <c r="R57" s="5" t="n">
        <v>29</v>
      </c>
      <c r="S57" s="5" t="n">
        <v>23</v>
      </c>
      <c r="T57" s="5" t="n">
        <v>35</v>
      </c>
      <c r="U57" s="5" t="n">
        <v>34</v>
      </c>
      <c r="V57" s="5" t="n">
        <v>49</v>
      </c>
      <c r="W57" s="5" t="n">
        <v>21</v>
      </c>
      <c r="X57" s="5" t="n">
        <v>31</v>
      </c>
      <c r="Y57" s="5" t="n">
        <v>42</v>
      </c>
      <c r="Z57" s="5" t="n">
        <v>21</v>
      </c>
      <c r="AA57" s="5" t="n">
        <v>27</v>
      </c>
      <c r="AC57" s="30" t="n"/>
    </row>
    <row r="58">
      <c r="A58" s="6" t="inlineStr">
        <is>
          <t>M</t>
        </is>
      </c>
      <c r="B58" s="8" t="n">
        <v>58</v>
      </c>
      <c r="C58" s="5" t="n">
        <v>46</v>
      </c>
      <c r="D58" s="5" t="n">
        <v>38</v>
      </c>
      <c r="E58" s="5" t="n">
        <v>27</v>
      </c>
      <c r="F58" s="5" t="n">
        <v>37</v>
      </c>
      <c r="G58" s="5" t="n">
        <v>33</v>
      </c>
      <c r="H58" s="5" t="n">
        <v>32</v>
      </c>
      <c r="I58" s="5" t="n">
        <v>25</v>
      </c>
      <c r="J58" s="5" t="n">
        <v>27</v>
      </c>
      <c r="K58" s="5" t="n">
        <v>19</v>
      </c>
      <c r="L58" s="5" t="n">
        <v>22</v>
      </c>
      <c r="M58" s="5" t="n">
        <v>4</v>
      </c>
      <c r="N58" s="5" t="n">
        <v>11</v>
      </c>
      <c r="O58" s="7" t="n">
        <v>0</v>
      </c>
      <c r="P58" s="5" t="n">
        <v>13</v>
      </c>
      <c r="Q58" s="5" t="n">
        <v>18</v>
      </c>
      <c r="R58" s="5" t="n">
        <v>25</v>
      </c>
      <c r="S58" s="5" t="n">
        <v>15</v>
      </c>
      <c r="T58" s="5" t="n">
        <v>27</v>
      </c>
      <c r="U58" s="5" t="n">
        <v>24</v>
      </c>
      <c r="V58" s="5" t="n">
        <v>41</v>
      </c>
      <c r="W58" s="5" t="n">
        <v>30</v>
      </c>
      <c r="X58" s="5" t="n">
        <v>39</v>
      </c>
      <c r="Y58" s="5" t="n">
        <v>29</v>
      </c>
      <c r="Z58" s="5" t="n">
        <v>27</v>
      </c>
      <c r="AA58" s="5" t="n">
        <v>23</v>
      </c>
      <c r="AC58" s="30" t="n"/>
    </row>
    <row r="59">
      <c r="A59" s="6" t="inlineStr">
        <is>
          <t>N</t>
        </is>
      </c>
      <c r="B59" s="8" t="n">
        <v>50</v>
      </c>
      <c r="C59" s="5" t="n">
        <v>50</v>
      </c>
      <c r="D59" s="5" t="n">
        <v>41</v>
      </c>
      <c r="E59" s="5" t="n">
        <v>27</v>
      </c>
      <c r="F59" s="5" t="n">
        <v>33</v>
      </c>
      <c r="G59" s="5" t="n">
        <v>29</v>
      </c>
      <c r="H59" s="5" t="n">
        <v>43</v>
      </c>
      <c r="I59" s="5" t="n">
        <v>26</v>
      </c>
      <c r="J59" s="5" t="n">
        <v>28</v>
      </c>
      <c r="K59" s="5" t="n">
        <v>18</v>
      </c>
      <c r="L59" s="5" t="n">
        <v>25</v>
      </c>
      <c r="M59" s="5" t="n">
        <v>9</v>
      </c>
      <c r="N59" s="5" t="n">
        <v>10</v>
      </c>
      <c r="O59" s="5" t="n">
        <v>13</v>
      </c>
      <c r="P59" s="7" t="n">
        <v>0</v>
      </c>
      <c r="Q59" s="5" t="n">
        <v>12</v>
      </c>
      <c r="R59" s="5" t="n">
        <v>20</v>
      </c>
      <c r="S59" s="5" t="n">
        <v>17</v>
      </c>
      <c r="T59" s="5" t="n">
        <v>29</v>
      </c>
      <c r="U59" s="5" t="n">
        <v>19</v>
      </c>
      <c r="V59" s="5" t="n">
        <v>40</v>
      </c>
      <c r="W59" s="5" t="n">
        <v>22</v>
      </c>
      <c r="X59" s="5" t="n">
        <v>38</v>
      </c>
      <c r="Y59" s="5" t="n">
        <v>25</v>
      </c>
      <c r="Z59" s="5" t="n">
        <v>22</v>
      </c>
      <c r="AA59" s="5" t="n">
        <v>17</v>
      </c>
      <c r="AC59" s="30" t="n"/>
    </row>
    <row r="60">
      <c r="A60" s="6" t="inlineStr">
        <is>
          <t>O</t>
        </is>
      </c>
      <c r="B60" s="8" t="n">
        <v>47</v>
      </c>
      <c r="C60" s="5" t="n">
        <v>45</v>
      </c>
      <c r="D60" s="5" t="n">
        <v>34</v>
      </c>
      <c r="E60" s="5" t="n">
        <v>24</v>
      </c>
      <c r="F60" s="5" t="n">
        <v>32</v>
      </c>
      <c r="G60" s="5" t="n">
        <v>30</v>
      </c>
      <c r="H60" s="5" t="n">
        <v>28</v>
      </c>
      <c r="I60" s="5" t="n">
        <v>21</v>
      </c>
      <c r="J60" s="5" t="n">
        <v>22</v>
      </c>
      <c r="K60" s="5" t="n">
        <v>14</v>
      </c>
      <c r="L60" s="5" t="n">
        <v>14</v>
      </c>
      <c r="M60" s="5" t="n">
        <v>11</v>
      </c>
      <c r="N60" s="5" t="n">
        <v>7</v>
      </c>
      <c r="O60" s="5" t="n">
        <v>18</v>
      </c>
      <c r="P60" s="5" t="n">
        <v>12</v>
      </c>
      <c r="Q60" s="7" t="n">
        <v>0</v>
      </c>
      <c r="R60" s="5" t="n">
        <v>19</v>
      </c>
      <c r="S60" s="5" t="n">
        <v>16</v>
      </c>
      <c r="T60" s="5" t="n">
        <v>23</v>
      </c>
      <c r="U60" s="5" t="n">
        <v>27</v>
      </c>
      <c r="V60" s="5" t="n">
        <v>47</v>
      </c>
      <c r="W60" s="5" t="n">
        <v>27</v>
      </c>
      <c r="X60" s="5" t="n">
        <v>26</v>
      </c>
      <c r="Y60" s="5" t="n">
        <v>19</v>
      </c>
      <c r="Z60" s="5" t="n">
        <v>17</v>
      </c>
      <c r="AA60" s="5" t="n">
        <v>21</v>
      </c>
      <c r="AC60" s="30" t="n"/>
    </row>
    <row r="61">
      <c r="A61" s="6" t="inlineStr">
        <is>
          <t>P</t>
        </is>
      </c>
      <c r="B61" s="8" t="n">
        <v>65</v>
      </c>
      <c r="C61" s="5" t="n">
        <v>59</v>
      </c>
      <c r="D61" s="5" t="n">
        <v>42</v>
      </c>
      <c r="E61" s="5" t="n">
        <v>41</v>
      </c>
      <c r="F61" s="5" t="n">
        <v>50</v>
      </c>
      <c r="G61" s="5" t="n">
        <v>55</v>
      </c>
      <c r="H61" s="5" t="n">
        <v>47</v>
      </c>
      <c r="I61" s="5" t="n">
        <v>39</v>
      </c>
      <c r="J61" s="5" t="n">
        <v>40</v>
      </c>
      <c r="K61" s="5" t="n">
        <v>33</v>
      </c>
      <c r="L61" s="5" t="n">
        <v>41</v>
      </c>
      <c r="M61" s="5" t="n">
        <v>24</v>
      </c>
      <c r="N61" s="5" t="n">
        <v>29</v>
      </c>
      <c r="O61" s="5" t="n">
        <v>25</v>
      </c>
      <c r="P61" s="5" t="n">
        <v>20</v>
      </c>
      <c r="Q61" s="5" t="n">
        <v>19</v>
      </c>
      <c r="R61" s="7" t="n">
        <v>0</v>
      </c>
      <c r="S61" s="5" t="n">
        <v>15</v>
      </c>
      <c r="T61" s="5" t="n">
        <v>37</v>
      </c>
      <c r="U61" s="5" t="n">
        <v>6</v>
      </c>
      <c r="V61" s="5" t="n">
        <v>22</v>
      </c>
      <c r="W61" s="5" t="n">
        <v>40</v>
      </c>
      <c r="X61" s="5" t="n">
        <v>58</v>
      </c>
      <c r="Y61" s="5" t="n">
        <v>39</v>
      </c>
      <c r="Z61" s="5" t="n">
        <v>34</v>
      </c>
      <c r="AA61" s="5" t="n">
        <v>41</v>
      </c>
      <c r="AC61" s="30" t="n"/>
    </row>
    <row r="62">
      <c r="A62" s="6" t="inlineStr">
        <is>
          <t>Q</t>
        </is>
      </c>
      <c r="B62" s="8" t="n">
        <v>65</v>
      </c>
      <c r="C62" s="5" t="n">
        <v>63</v>
      </c>
      <c r="D62" s="5" t="n">
        <v>44</v>
      </c>
      <c r="E62" s="5" t="n">
        <v>42</v>
      </c>
      <c r="F62" s="5" t="n">
        <v>52</v>
      </c>
      <c r="G62" s="5" t="n">
        <v>52</v>
      </c>
      <c r="H62" s="5" t="n">
        <v>33</v>
      </c>
      <c r="I62" s="5" t="n">
        <v>41</v>
      </c>
      <c r="J62" s="5" t="n">
        <v>41</v>
      </c>
      <c r="K62" s="5" t="n">
        <v>35</v>
      </c>
      <c r="L62" s="5" t="n">
        <v>38</v>
      </c>
      <c r="M62" s="5" t="n">
        <v>21</v>
      </c>
      <c r="N62" s="5" t="n">
        <v>23</v>
      </c>
      <c r="O62" s="5" t="n">
        <v>15</v>
      </c>
      <c r="P62" s="5" t="n">
        <v>17</v>
      </c>
      <c r="Q62" s="5" t="n">
        <v>16</v>
      </c>
      <c r="R62" s="5" t="n">
        <v>15</v>
      </c>
      <c r="S62" s="7" t="n">
        <v>0</v>
      </c>
      <c r="T62" s="5" t="n">
        <v>11</v>
      </c>
      <c r="U62" s="5" t="n">
        <v>20</v>
      </c>
      <c r="V62" s="5" t="n">
        <v>33</v>
      </c>
      <c r="W62" s="5" t="n">
        <v>37</v>
      </c>
      <c r="X62" s="5" t="n">
        <v>62</v>
      </c>
      <c r="Y62" s="5" t="n">
        <v>35</v>
      </c>
      <c r="Z62" s="5" t="n">
        <v>25</v>
      </c>
      <c r="AA62" s="5" t="n">
        <v>27</v>
      </c>
      <c r="AC62" s="30" t="n"/>
    </row>
    <row r="63">
      <c r="A63" s="6" t="inlineStr">
        <is>
          <t>R</t>
        </is>
      </c>
      <c r="B63" s="8" t="n">
        <v>75</v>
      </c>
      <c r="C63" s="5" t="n">
        <v>71</v>
      </c>
      <c r="D63" s="5" t="n">
        <v>53</v>
      </c>
      <c r="E63" s="5" t="n">
        <v>50</v>
      </c>
      <c r="F63" s="5" t="n">
        <v>60</v>
      </c>
      <c r="G63" s="5" t="n">
        <v>51</v>
      </c>
      <c r="H63" s="5" t="n">
        <v>41</v>
      </c>
      <c r="I63" s="5" t="n">
        <v>49</v>
      </c>
      <c r="J63" s="5" t="n">
        <v>50</v>
      </c>
      <c r="K63" s="5" t="n">
        <v>42</v>
      </c>
      <c r="L63" s="5" t="n">
        <v>50</v>
      </c>
      <c r="M63" s="5" t="n">
        <v>39</v>
      </c>
      <c r="N63" s="5" t="n">
        <v>35</v>
      </c>
      <c r="O63" s="5" t="n">
        <v>27</v>
      </c>
      <c r="P63" s="5" t="n">
        <v>29</v>
      </c>
      <c r="Q63" s="5" t="n">
        <v>23</v>
      </c>
      <c r="R63" s="5" t="n">
        <v>37</v>
      </c>
      <c r="S63" s="5" t="n">
        <v>11</v>
      </c>
      <c r="T63" s="7" t="n">
        <v>0</v>
      </c>
      <c r="U63" s="5" t="n">
        <v>29</v>
      </c>
      <c r="V63" s="5" t="n">
        <v>42</v>
      </c>
      <c r="W63" s="5" t="n">
        <v>41</v>
      </c>
      <c r="X63" s="5" t="n">
        <v>61</v>
      </c>
      <c r="Y63" s="5" t="n">
        <v>39</v>
      </c>
      <c r="Z63" s="5" t="n">
        <v>44</v>
      </c>
      <c r="AA63" s="5" t="n">
        <v>35</v>
      </c>
      <c r="AC63" s="30" t="n"/>
    </row>
    <row r="64">
      <c r="A64" s="6" t="inlineStr">
        <is>
          <t>S</t>
        </is>
      </c>
      <c r="B64" s="8" t="n">
        <v>68</v>
      </c>
      <c r="C64" s="5" t="n">
        <v>75</v>
      </c>
      <c r="D64" s="5" t="n">
        <v>46</v>
      </c>
      <c r="E64" s="5" t="n">
        <v>43</v>
      </c>
      <c r="F64" s="5" t="n">
        <v>55</v>
      </c>
      <c r="G64" s="5" t="n">
        <v>53</v>
      </c>
      <c r="H64" s="5" t="n">
        <v>50</v>
      </c>
      <c r="I64" s="5" t="n">
        <v>42</v>
      </c>
      <c r="J64" s="5" t="n">
        <v>43</v>
      </c>
      <c r="K64" s="5" t="n">
        <v>36</v>
      </c>
      <c r="L64" s="5" t="n">
        <v>46</v>
      </c>
      <c r="M64" s="5" t="n">
        <v>29</v>
      </c>
      <c r="N64" s="5" t="n">
        <v>34</v>
      </c>
      <c r="O64" s="5" t="n">
        <v>24</v>
      </c>
      <c r="P64" s="5" t="n">
        <v>19</v>
      </c>
      <c r="Q64" s="5" t="n">
        <v>27</v>
      </c>
      <c r="R64" s="5" t="n">
        <v>6</v>
      </c>
      <c r="S64" s="5" t="n">
        <v>20</v>
      </c>
      <c r="T64" s="5" t="n">
        <v>29</v>
      </c>
      <c r="U64" s="7" t="n">
        <v>0</v>
      </c>
      <c r="V64" s="5" t="n">
        <v>15</v>
      </c>
      <c r="W64" s="5" t="n">
        <v>42</v>
      </c>
      <c r="X64" s="5" t="n">
        <v>58</v>
      </c>
      <c r="Y64" s="5" t="n">
        <v>42</v>
      </c>
      <c r="Z64" s="5" t="n">
        <v>39</v>
      </c>
      <c r="AA64" s="5" t="n">
        <v>38</v>
      </c>
      <c r="AC64" s="30" t="n"/>
    </row>
    <row r="65">
      <c r="A65" s="6" t="inlineStr">
        <is>
          <t>T</t>
        </is>
      </c>
      <c r="B65" s="8" t="n">
        <v>79</v>
      </c>
      <c r="C65" s="5" t="n">
        <v>64</v>
      </c>
      <c r="D65" s="5" t="n">
        <v>67</v>
      </c>
      <c r="E65" s="5" t="n">
        <v>54</v>
      </c>
      <c r="F65" s="5" t="n">
        <v>63</v>
      </c>
      <c r="G65" s="5" t="n">
        <v>52</v>
      </c>
      <c r="H65" s="5" t="n">
        <v>58</v>
      </c>
      <c r="I65" s="5" t="n">
        <v>51</v>
      </c>
      <c r="J65" s="5" t="n">
        <v>51</v>
      </c>
      <c r="K65" s="5" t="n">
        <v>45</v>
      </c>
      <c r="L65" s="5" t="n">
        <v>63</v>
      </c>
      <c r="M65" s="5" t="n">
        <v>46</v>
      </c>
      <c r="N65" s="5" t="n">
        <v>49</v>
      </c>
      <c r="O65" s="5" t="n">
        <v>41</v>
      </c>
      <c r="P65" s="5" t="n">
        <v>40</v>
      </c>
      <c r="Q65" s="5" t="n">
        <v>47</v>
      </c>
      <c r="R65" s="5" t="n">
        <v>22</v>
      </c>
      <c r="S65" s="5" t="n">
        <v>33</v>
      </c>
      <c r="T65" s="5" t="n">
        <v>42</v>
      </c>
      <c r="U65" s="5" t="n">
        <v>15</v>
      </c>
      <c r="V65" s="7" t="n">
        <v>0</v>
      </c>
      <c r="W65" s="5" t="n">
        <v>60</v>
      </c>
      <c r="X65" s="5" t="n">
        <v>79</v>
      </c>
      <c r="Y65" s="5" t="n">
        <v>55</v>
      </c>
      <c r="Z65" s="5" t="n">
        <v>27</v>
      </c>
      <c r="AA65" s="5" t="n">
        <v>54</v>
      </c>
      <c r="AC65" s="30" t="n"/>
    </row>
    <row r="66">
      <c r="A66" s="6" t="inlineStr">
        <is>
          <t>U</t>
        </is>
      </c>
      <c r="B66" s="8" t="n">
        <v>44</v>
      </c>
      <c r="C66" s="5" t="n">
        <v>42</v>
      </c>
      <c r="D66" s="5" t="n">
        <v>37</v>
      </c>
      <c r="E66" s="5" t="n">
        <v>21</v>
      </c>
      <c r="F66" s="5" t="n">
        <v>34</v>
      </c>
      <c r="G66" s="5" t="n">
        <v>33</v>
      </c>
      <c r="H66" s="5" t="n">
        <v>22</v>
      </c>
      <c r="I66" s="5" t="n">
        <v>25</v>
      </c>
      <c r="J66" s="5" t="n">
        <v>26</v>
      </c>
      <c r="K66" s="5" t="n">
        <v>16</v>
      </c>
      <c r="L66" s="5" t="n">
        <v>25</v>
      </c>
      <c r="M66" s="5" t="n">
        <v>30</v>
      </c>
      <c r="N66" s="5" t="n">
        <v>21</v>
      </c>
      <c r="O66" s="5" t="n">
        <v>30</v>
      </c>
      <c r="P66" s="5" t="n">
        <v>22</v>
      </c>
      <c r="Q66" s="5" t="n">
        <v>27</v>
      </c>
      <c r="R66" s="5" t="n">
        <v>40</v>
      </c>
      <c r="S66" s="5" t="n">
        <v>37</v>
      </c>
      <c r="T66" s="5" t="n">
        <v>41</v>
      </c>
      <c r="U66" s="5" t="n">
        <v>42</v>
      </c>
      <c r="V66" s="5" t="n">
        <v>60</v>
      </c>
      <c r="W66" s="7" t="n">
        <v>0</v>
      </c>
      <c r="X66" s="5" t="n">
        <v>21</v>
      </c>
      <c r="Y66" s="5" t="n">
        <v>27</v>
      </c>
      <c r="Z66" s="5" t="n">
        <v>17</v>
      </c>
      <c r="AA66" s="5" t="n">
        <v>11</v>
      </c>
      <c r="AC66" s="30" t="n"/>
    </row>
    <row r="67">
      <c r="A67" s="6" t="inlineStr">
        <is>
          <t>V</t>
        </is>
      </c>
      <c r="B67" s="8" t="n">
        <v>34</v>
      </c>
      <c r="C67" s="5" t="n">
        <v>27</v>
      </c>
      <c r="D67" s="5" t="n">
        <v>21</v>
      </c>
      <c r="E67" s="5" t="n">
        <v>10</v>
      </c>
      <c r="F67" s="5" t="n">
        <v>20</v>
      </c>
      <c r="G67" s="5" t="n">
        <v>20</v>
      </c>
      <c r="H67" s="5" t="n">
        <v>12</v>
      </c>
      <c r="I67" s="5" t="n">
        <v>15</v>
      </c>
      <c r="J67" s="5" t="n">
        <v>16</v>
      </c>
      <c r="K67" s="5" t="n">
        <v>3</v>
      </c>
      <c r="L67" s="5" t="n">
        <v>17</v>
      </c>
      <c r="M67" s="5" t="n">
        <v>37</v>
      </c>
      <c r="N67" s="5" t="n">
        <v>31</v>
      </c>
      <c r="O67" s="5" t="n">
        <v>39</v>
      </c>
      <c r="P67" s="5" t="n">
        <v>38</v>
      </c>
      <c r="Q67" s="5" t="n">
        <v>26</v>
      </c>
      <c r="R67" s="5" t="n">
        <v>58</v>
      </c>
      <c r="S67" s="5" t="n">
        <v>62</v>
      </c>
      <c r="T67" s="5" t="n">
        <v>61</v>
      </c>
      <c r="U67" s="5" t="n">
        <v>58</v>
      </c>
      <c r="V67" s="5" t="n">
        <v>79</v>
      </c>
      <c r="W67" s="5" t="n">
        <v>21</v>
      </c>
      <c r="X67" s="7" t="n">
        <v>0</v>
      </c>
      <c r="Y67" s="5" t="n">
        <v>37</v>
      </c>
      <c r="Z67" s="5" t="n">
        <v>29</v>
      </c>
      <c r="AA67" s="5" t="n">
        <v>33</v>
      </c>
      <c r="AC67" s="30" t="n"/>
    </row>
    <row r="68">
      <c r="A68" s="6" t="inlineStr">
        <is>
          <t>W</t>
        </is>
      </c>
      <c r="B68" s="8" t="n">
        <v>49</v>
      </c>
      <c r="C68" s="5" t="n">
        <v>43</v>
      </c>
      <c r="D68" s="5" t="n">
        <v>44</v>
      </c>
      <c r="E68" s="5" t="n">
        <v>30</v>
      </c>
      <c r="F68" s="5" t="n">
        <v>43</v>
      </c>
      <c r="G68" s="5" t="n">
        <v>42</v>
      </c>
      <c r="H68" s="5" t="n">
        <v>43</v>
      </c>
      <c r="I68" s="5" t="n">
        <v>36</v>
      </c>
      <c r="J68" s="5" t="n">
        <v>36</v>
      </c>
      <c r="K68" s="5" t="n">
        <v>27</v>
      </c>
      <c r="L68" s="5" t="n">
        <v>44</v>
      </c>
      <c r="M68" s="5" t="n">
        <v>53</v>
      </c>
      <c r="N68" s="5" t="n">
        <v>42</v>
      </c>
      <c r="O68" s="5" t="n">
        <v>29</v>
      </c>
      <c r="P68" s="5" t="n">
        <v>25</v>
      </c>
      <c r="Q68" s="5" t="n">
        <v>19</v>
      </c>
      <c r="R68" s="5" t="n">
        <v>39</v>
      </c>
      <c r="S68" s="5" t="n">
        <v>35</v>
      </c>
      <c r="T68" s="5" t="n">
        <v>39</v>
      </c>
      <c r="U68" s="5" t="n">
        <v>42</v>
      </c>
      <c r="V68" s="5" t="n">
        <v>55</v>
      </c>
      <c r="W68" s="5" t="n">
        <v>27</v>
      </c>
      <c r="X68" s="5" t="n">
        <v>37</v>
      </c>
      <c r="Y68" s="7" t="n">
        <v>0</v>
      </c>
      <c r="Z68" s="5" t="n">
        <v>9</v>
      </c>
      <c r="AA68" s="5" t="n">
        <v>20</v>
      </c>
      <c r="AC68" s="30" t="n"/>
    </row>
    <row r="69">
      <c r="A69" s="6" t="inlineStr">
        <is>
          <t>X</t>
        </is>
      </c>
      <c r="B69" s="8" t="n">
        <v>52</v>
      </c>
      <c r="C69" s="5" t="n">
        <v>47</v>
      </c>
      <c r="D69" s="5" t="n">
        <v>55</v>
      </c>
      <c r="E69" s="5" t="n">
        <v>28</v>
      </c>
      <c r="F69" s="5" t="n">
        <v>40</v>
      </c>
      <c r="G69" s="5" t="n">
        <v>40</v>
      </c>
      <c r="H69" s="5" t="n">
        <v>41</v>
      </c>
      <c r="I69" s="5" t="n">
        <v>35</v>
      </c>
      <c r="J69" s="5" t="n">
        <v>35</v>
      </c>
      <c r="K69" s="5" t="n">
        <v>25</v>
      </c>
      <c r="L69" s="5" t="n">
        <v>45</v>
      </c>
      <c r="M69" s="5" t="n">
        <v>26</v>
      </c>
      <c r="N69" s="5" t="n">
        <v>21</v>
      </c>
      <c r="O69" s="5" t="n">
        <v>27</v>
      </c>
      <c r="P69" s="5" t="n">
        <v>22</v>
      </c>
      <c r="Q69" s="5" t="n">
        <v>17</v>
      </c>
      <c r="R69" s="5" t="n">
        <v>34</v>
      </c>
      <c r="S69" s="5" t="n">
        <v>25</v>
      </c>
      <c r="T69" s="5" t="n">
        <v>44</v>
      </c>
      <c r="U69" s="5" t="n">
        <v>39</v>
      </c>
      <c r="V69" s="5" t="n">
        <v>27</v>
      </c>
      <c r="W69" s="5" t="n">
        <v>17</v>
      </c>
      <c r="X69" s="5" t="n">
        <v>29</v>
      </c>
      <c r="Y69" s="5" t="n">
        <v>9</v>
      </c>
      <c r="Z69" s="7" t="n">
        <v>0</v>
      </c>
      <c r="AA69" s="5" t="n">
        <v>15</v>
      </c>
      <c r="AC69" s="30" t="n"/>
    </row>
    <row r="70">
      <c r="A70" s="6" t="inlineStr">
        <is>
          <t>Y</t>
        </is>
      </c>
      <c r="B70" s="8" t="n">
        <v>49</v>
      </c>
      <c r="C70" s="5" t="n">
        <v>49</v>
      </c>
      <c r="D70" s="5" t="n">
        <v>30</v>
      </c>
      <c r="E70" s="5" t="n">
        <v>25</v>
      </c>
      <c r="F70" s="5" t="n">
        <v>38</v>
      </c>
      <c r="G70" s="5" t="n">
        <v>38</v>
      </c>
      <c r="H70" s="5" t="n">
        <v>48</v>
      </c>
      <c r="I70" s="5" t="n">
        <v>30</v>
      </c>
      <c r="J70" s="5" t="n">
        <v>31</v>
      </c>
      <c r="K70" s="5" t="n">
        <v>22</v>
      </c>
      <c r="L70" s="5" t="n">
        <v>34</v>
      </c>
      <c r="M70" s="5" t="n">
        <v>34</v>
      </c>
      <c r="N70" s="5" t="n">
        <v>27</v>
      </c>
      <c r="O70" s="5" t="n">
        <v>23</v>
      </c>
      <c r="P70" s="5" t="n">
        <v>17</v>
      </c>
      <c r="Q70" s="5" t="n">
        <v>21</v>
      </c>
      <c r="R70" s="5" t="n">
        <v>41</v>
      </c>
      <c r="S70" s="5" t="n">
        <v>27</v>
      </c>
      <c r="T70" s="5" t="n">
        <v>35</v>
      </c>
      <c r="U70" s="5" t="n">
        <v>38</v>
      </c>
      <c r="V70" s="5" t="n">
        <v>54</v>
      </c>
      <c r="W70" s="5" t="n">
        <v>11</v>
      </c>
      <c r="X70" s="5" t="n">
        <v>33</v>
      </c>
      <c r="Y70" s="5" t="n">
        <v>20</v>
      </c>
      <c r="Z70" s="5" t="n">
        <v>15</v>
      </c>
      <c r="AA70" s="7" t="n">
        <v>0</v>
      </c>
      <c r="AC70" s="30" t="n"/>
    </row>
    <row r="71">
      <c r="AC71" s="30" t="n"/>
    </row>
    <row r="72">
      <c r="AC72" s="30" t="n"/>
    </row>
    <row r="73">
      <c r="AC73" s="30" t="n"/>
    </row>
  </sheetData>
  <mergeCells count="6">
    <mergeCell ref="G2:I2"/>
    <mergeCell ref="A43:AA43"/>
    <mergeCell ref="R7:R8"/>
    <mergeCell ref="G3:I3"/>
    <mergeCell ref="K34:M34"/>
    <mergeCell ref="U7:U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M82"/>
  <sheetViews>
    <sheetView tabSelected="1" topLeftCell="A24" zoomScale="76" zoomScaleNormal="25" workbookViewId="0">
      <selection activeCell="L24" sqref="L24"/>
    </sheetView>
  </sheetViews>
  <sheetFormatPr baseColWidth="8" defaultRowHeight="14.5"/>
  <cols>
    <col width="10.90625" customWidth="1" min="6" max="6"/>
  </cols>
  <sheetData>
    <row r="2" ht="21" customHeight="1">
      <c r="C2" s="32" t="n">
        <v>1</v>
      </c>
      <c r="D2" t="n">
        <v>2</v>
      </c>
      <c r="E2" t="n">
        <v>3</v>
      </c>
      <c r="F2" s="32" t="n">
        <v>4</v>
      </c>
      <c r="G2" s="32" t="n">
        <v>5</v>
      </c>
      <c r="H2" s="32" t="n">
        <v>6</v>
      </c>
      <c r="I2" s="32" t="n">
        <v>7</v>
      </c>
      <c r="J2" s="32" t="n">
        <v>8</v>
      </c>
      <c r="K2" s="32" t="n">
        <v>9</v>
      </c>
      <c r="L2" s="32" t="n">
        <v>10</v>
      </c>
      <c r="M2" s="32" t="n">
        <v>11</v>
      </c>
      <c r="N2" s="32" t="n">
        <v>12</v>
      </c>
      <c r="O2" s="32" t="n">
        <v>13</v>
      </c>
      <c r="P2" s="32" t="n">
        <v>14</v>
      </c>
      <c r="Q2" s="32" t="n">
        <v>15</v>
      </c>
      <c r="R2" s="32" t="n">
        <v>16</v>
      </c>
      <c r="S2" s="32" t="n">
        <v>17</v>
      </c>
      <c r="T2" s="32" t="n">
        <v>18</v>
      </c>
      <c r="U2" s="32" t="n">
        <v>9</v>
      </c>
      <c r="V2" s="32" t="n">
        <v>20</v>
      </c>
      <c r="W2" s="32" t="n">
        <v>1</v>
      </c>
      <c r="X2" s="32" t="n">
        <v>2</v>
      </c>
      <c r="Y2" s="32" t="n">
        <v>3</v>
      </c>
      <c r="Z2" s="32" t="n">
        <v>4</v>
      </c>
      <c r="AA2" s="32" t="n">
        <v>5</v>
      </c>
    </row>
    <row r="3">
      <c r="A3" s="122" t="inlineStr">
        <is>
          <t>TABEL OD MATRIX WAKTU (MENIT)</t>
        </is>
      </c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6" t="n"/>
      <c r="O3" s="136" t="n"/>
      <c r="P3" s="136" t="n"/>
      <c r="Q3" s="136" t="n"/>
      <c r="R3" s="136" t="n"/>
      <c r="S3" s="136" t="n"/>
      <c r="T3" s="136" t="n"/>
      <c r="U3" s="136" t="n"/>
      <c r="V3" s="136" t="n"/>
      <c r="W3" s="136" t="n"/>
      <c r="X3" s="136" t="n"/>
      <c r="Y3" s="136" t="n"/>
      <c r="Z3" s="136" t="n"/>
      <c r="AA3" s="137" t="n"/>
    </row>
    <row r="4">
      <c r="A4" s="4" t="n"/>
      <c r="B4" s="4" t="inlineStr">
        <is>
          <t>GUDANG</t>
        </is>
      </c>
      <c r="C4" s="4" t="inlineStr">
        <is>
          <t>A</t>
        </is>
      </c>
      <c r="D4" s="4" t="inlineStr">
        <is>
          <t>B</t>
        </is>
      </c>
      <c r="E4" s="4" t="inlineStr">
        <is>
          <t>C</t>
        </is>
      </c>
      <c r="F4" s="4" t="inlineStr">
        <is>
          <t>D</t>
        </is>
      </c>
      <c r="G4" s="4" t="inlineStr">
        <is>
          <t>E</t>
        </is>
      </c>
      <c r="H4" s="4" t="inlineStr">
        <is>
          <t>F</t>
        </is>
      </c>
      <c r="I4" s="4" t="inlineStr">
        <is>
          <t>G</t>
        </is>
      </c>
      <c r="J4" s="4" t="inlineStr">
        <is>
          <t>H</t>
        </is>
      </c>
      <c r="K4" s="4" t="inlineStr">
        <is>
          <t>I</t>
        </is>
      </c>
      <c r="L4" s="4" t="inlineStr">
        <is>
          <t>J</t>
        </is>
      </c>
      <c r="M4" s="4" t="inlineStr">
        <is>
          <t>K</t>
        </is>
      </c>
      <c r="N4" s="4" t="inlineStr">
        <is>
          <t>L</t>
        </is>
      </c>
      <c r="O4" s="4" t="inlineStr">
        <is>
          <t>M</t>
        </is>
      </c>
      <c r="P4" s="4" t="inlineStr">
        <is>
          <t>N</t>
        </is>
      </c>
      <c r="Q4" s="4" t="inlineStr">
        <is>
          <t>O</t>
        </is>
      </c>
      <c r="R4" s="4" t="inlineStr">
        <is>
          <t>P</t>
        </is>
      </c>
      <c r="S4" s="4" t="inlineStr">
        <is>
          <t>Q</t>
        </is>
      </c>
      <c r="T4" s="4" t="inlineStr">
        <is>
          <t>R</t>
        </is>
      </c>
      <c r="U4" s="4" t="inlineStr">
        <is>
          <t>S</t>
        </is>
      </c>
      <c r="V4" s="4" t="inlineStr">
        <is>
          <t>T</t>
        </is>
      </c>
      <c r="W4" s="4" t="inlineStr">
        <is>
          <t>U</t>
        </is>
      </c>
      <c r="X4" s="4" t="inlineStr">
        <is>
          <t>V</t>
        </is>
      </c>
      <c r="Y4" s="4" t="inlineStr">
        <is>
          <t>W</t>
        </is>
      </c>
      <c r="Z4" s="4" t="inlineStr">
        <is>
          <t>X</t>
        </is>
      </c>
      <c r="AA4" s="4" t="inlineStr">
        <is>
          <t>Y</t>
        </is>
      </c>
    </row>
    <row r="5">
      <c r="A5" s="6" t="inlineStr">
        <is>
          <t>GUDANG</t>
        </is>
      </c>
      <c r="B5" s="7" t="n">
        <v>0</v>
      </c>
      <c r="C5" s="8" t="n">
        <v>14</v>
      </c>
      <c r="D5" s="8" t="n">
        <v>25</v>
      </c>
      <c r="E5" s="8" t="n">
        <v>23</v>
      </c>
      <c r="F5" s="8" t="n">
        <v>24</v>
      </c>
      <c r="G5" s="8" t="n">
        <v>34</v>
      </c>
      <c r="H5" s="8" t="n">
        <v>35</v>
      </c>
      <c r="I5" s="8" t="n">
        <v>36</v>
      </c>
      <c r="J5" s="8" t="n">
        <v>31</v>
      </c>
      <c r="K5" s="8" t="n">
        <v>36</v>
      </c>
      <c r="L5" s="8" t="n">
        <v>42</v>
      </c>
      <c r="M5" s="8" t="n">
        <v>51</v>
      </c>
      <c r="N5" s="8" t="n">
        <v>53</v>
      </c>
      <c r="O5" s="8" t="n">
        <v>58</v>
      </c>
      <c r="P5" s="8" t="n">
        <v>50</v>
      </c>
      <c r="Q5" s="8" t="n">
        <v>47</v>
      </c>
      <c r="R5" s="8" t="n">
        <v>65</v>
      </c>
      <c r="S5" s="8" t="n">
        <v>65</v>
      </c>
      <c r="T5" s="8" t="n">
        <v>75</v>
      </c>
      <c r="U5" s="8" t="n">
        <v>68</v>
      </c>
      <c r="V5" s="8" t="n">
        <v>79</v>
      </c>
      <c r="W5" s="8" t="n">
        <v>44</v>
      </c>
      <c r="X5" s="8" t="n">
        <v>34</v>
      </c>
      <c r="Y5" s="8" t="n">
        <v>49</v>
      </c>
      <c r="Z5" s="8" t="n">
        <v>52</v>
      </c>
      <c r="AA5" s="8" t="n">
        <v>49</v>
      </c>
    </row>
    <row r="6" ht="21" customHeight="1">
      <c r="A6" s="6" t="inlineStr">
        <is>
          <t>A</t>
        </is>
      </c>
      <c r="B6" s="8" t="n">
        <v>14</v>
      </c>
      <c r="C6" s="7" t="n">
        <v>0</v>
      </c>
      <c r="D6" s="5" t="n">
        <v>17</v>
      </c>
      <c r="E6" s="5" t="n">
        <v>19</v>
      </c>
      <c r="F6" s="5" t="n">
        <v>12</v>
      </c>
      <c r="G6" s="5" t="n">
        <v>26</v>
      </c>
      <c r="H6" s="5" t="n">
        <v>27</v>
      </c>
      <c r="I6" s="5" t="n">
        <v>33</v>
      </c>
      <c r="J6" s="5" t="n">
        <v>25</v>
      </c>
      <c r="K6" s="5" t="n">
        <v>30</v>
      </c>
      <c r="L6" s="5" t="n">
        <v>34</v>
      </c>
      <c r="M6" s="5" t="n">
        <v>44</v>
      </c>
      <c r="N6" s="5" t="n">
        <v>47</v>
      </c>
      <c r="O6" s="5" t="n">
        <v>46</v>
      </c>
      <c r="P6" s="5" t="n">
        <v>50</v>
      </c>
      <c r="Q6" s="5" t="n">
        <v>45</v>
      </c>
      <c r="R6" s="5" t="n">
        <v>59</v>
      </c>
      <c r="S6" s="5" t="n">
        <v>63</v>
      </c>
      <c r="T6" s="5" t="n">
        <v>71</v>
      </c>
      <c r="U6" s="5" t="n">
        <v>75</v>
      </c>
      <c r="V6" s="5" t="n">
        <v>64</v>
      </c>
      <c r="W6" s="5" t="n">
        <v>42</v>
      </c>
      <c r="X6" s="5" t="n">
        <v>27</v>
      </c>
      <c r="Y6" s="5" t="n">
        <v>43</v>
      </c>
      <c r="Z6" s="5" t="n">
        <v>47</v>
      </c>
      <c r="AA6" s="5" t="n">
        <v>49</v>
      </c>
      <c r="AC6" s="32" t="n">
        <v>1</v>
      </c>
    </row>
    <row r="7">
      <c r="A7" s="6" t="inlineStr">
        <is>
          <t>B</t>
        </is>
      </c>
      <c r="B7" s="8" t="n">
        <v>25</v>
      </c>
      <c r="C7" s="5" t="n">
        <v>17</v>
      </c>
      <c r="D7" s="7" t="n">
        <v>0</v>
      </c>
      <c r="E7" s="5" t="n">
        <v>15</v>
      </c>
      <c r="F7" s="5" t="n">
        <v>7</v>
      </c>
      <c r="G7" s="5" t="n">
        <v>15</v>
      </c>
      <c r="H7" s="5" t="n">
        <v>19</v>
      </c>
      <c r="I7" s="5" t="n">
        <v>17</v>
      </c>
      <c r="J7" s="5" t="n">
        <v>9</v>
      </c>
      <c r="K7" s="5" t="n">
        <v>18</v>
      </c>
      <c r="L7" s="5" t="n">
        <v>27</v>
      </c>
      <c r="M7" s="5" t="n">
        <v>33</v>
      </c>
      <c r="N7" s="5" t="n">
        <v>28</v>
      </c>
      <c r="O7" s="5" t="n">
        <v>38</v>
      </c>
      <c r="P7" s="5" t="n">
        <v>41</v>
      </c>
      <c r="Q7" s="5" t="n">
        <v>34</v>
      </c>
      <c r="R7" s="5" t="n">
        <v>42</v>
      </c>
      <c r="S7" s="5" t="n">
        <v>44</v>
      </c>
      <c r="T7" s="5" t="n">
        <v>53</v>
      </c>
      <c r="U7" s="5" t="n">
        <v>46</v>
      </c>
      <c r="V7" s="5" t="n">
        <v>67</v>
      </c>
      <c r="W7" s="5" t="n">
        <v>37</v>
      </c>
      <c r="X7" s="5" t="n">
        <v>21</v>
      </c>
      <c r="Y7" s="5" t="n">
        <v>44</v>
      </c>
      <c r="Z7" s="5" t="n">
        <v>55</v>
      </c>
      <c r="AA7" s="5" t="n">
        <v>30</v>
      </c>
      <c r="AC7" t="n">
        <v>2</v>
      </c>
    </row>
    <row r="8">
      <c r="A8" s="6" t="inlineStr">
        <is>
          <t>C</t>
        </is>
      </c>
      <c r="B8" s="8" t="n">
        <v>23</v>
      </c>
      <c r="C8" s="5" t="n">
        <v>19</v>
      </c>
      <c r="D8" s="5" t="n">
        <v>15</v>
      </c>
      <c r="E8" s="7" t="n">
        <v>0</v>
      </c>
      <c r="F8" s="5" t="n">
        <v>6</v>
      </c>
      <c r="G8" s="5" t="n">
        <v>13</v>
      </c>
      <c r="H8" s="5" t="n">
        <v>14</v>
      </c>
      <c r="I8" s="5" t="n">
        <v>18</v>
      </c>
      <c r="J8" s="5" t="n">
        <v>16</v>
      </c>
      <c r="K8" s="5" t="n">
        <v>12</v>
      </c>
      <c r="L8" s="5" t="n">
        <v>21</v>
      </c>
      <c r="M8" s="5" t="n">
        <v>27</v>
      </c>
      <c r="N8" s="5" t="n">
        <v>29</v>
      </c>
      <c r="O8" s="5" t="n">
        <v>27</v>
      </c>
      <c r="P8" s="5" t="n">
        <v>27</v>
      </c>
      <c r="Q8" s="5" t="n">
        <v>24</v>
      </c>
      <c r="R8" s="5" t="n">
        <v>41</v>
      </c>
      <c r="S8" s="5" t="n">
        <v>42</v>
      </c>
      <c r="T8" s="5" t="n">
        <v>50</v>
      </c>
      <c r="U8" s="5" t="n">
        <v>43</v>
      </c>
      <c r="V8" s="5" t="n">
        <v>54</v>
      </c>
      <c r="W8" s="5" t="n">
        <v>21</v>
      </c>
      <c r="X8" s="5" t="n">
        <v>10</v>
      </c>
      <c r="Y8" s="5" t="n">
        <v>30</v>
      </c>
      <c r="Z8" s="5" t="n">
        <v>28</v>
      </c>
      <c r="AA8" s="5" t="n">
        <v>25</v>
      </c>
      <c r="AC8" t="n">
        <v>3</v>
      </c>
    </row>
    <row r="9" ht="21" customHeight="1">
      <c r="A9" s="6" t="inlineStr">
        <is>
          <t>D</t>
        </is>
      </c>
      <c r="B9" s="8" t="n">
        <v>24</v>
      </c>
      <c r="C9" s="5" t="n">
        <v>12</v>
      </c>
      <c r="D9" s="5" t="n">
        <v>7</v>
      </c>
      <c r="E9" s="5" t="n">
        <v>6</v>
      </c>
      <c r="F9" s="7" t="n">
        <v>0</v>
      </c>
      <c r="G9" s="5" t="n">
        <v>17</v>
      </c>
      <c r="H9" s="5" t="n">
        <v>21</v>
      </c>
      <c r="I9" s="5" t="n">
        <v>24</v>
      </c>
      <c r="J9" s="5" t="n">
        <v>21</v>
      </c>
      <c r="K9" s="5" t="n">
        <v>20</v>
      </c>
      <c r="L9" s="5" t="n">
        <v>40</v>
      </c>
      <c r="M9" s="5" t="n">
        <v>35</v>
      </c>
      <c r="N9" s="5" t="n">
        <v>36</v>
      </c>
      <c r="O9" s="5" t="n">
        <v>37</v>
      </c>
      <c r="P9" s="5" t="n">
        <v>33</v>
      </c>
      <c r="Q9" s="5" t="n">
        <v>32</v>
      </c>
      <c r="R9" s="5" t="n">
        <v>50</v>
      </c>
      <c r="S9" s="5" t="n">
        <v>52</v>
      </c>
      <c r="T9" s="5" t="n">
        <v>60</v>
      </c>
      <c r="U9" s="5" t="n">
        <v>55</v>
      </c>
      <c r="V9" s="5" t="n">
        <v>63</v>
      </c>
      <c r="W9" s="5" t="n">
        <v>34</v>
      </c>
      <c r="X9" s="5" t="n">
        <v>20</v>
      </c>
      <c r="Y9" s="5" t="n">
        <v>43</v>
      </c>
      <c r="Z9" s="5" t="n">
        <v>40</v>
      </c>
      <c r="AA9" s="5" t="n">
        <v>38</v>
      </c>
      <c r="AC9" s="32" t="n">
        <v>4</v>
      </c>
    </row>
    <row r="10" ht="21" customHeight="1">
      <c r="A10" s="6" t="inlineStr">
        <is>
          <t>E</t>
        </is>
      </c>
      <c r="B10" s="8" t="n">
        <v>34</v>
      </c>
      <c r="C10" s="5" t="n">
        <v>26</v>
      </c>
      <c r="D10" s="5" t="n">
        <v>15</v>
      </c>
      <c r="E10" s="5" t="n">
        <v>13</v>
      </c>
      <c r="F10" s="5" t="n">
        <v>17</v>
      </c>
      <c r="G10" s="7" t="n">
        <v>0</v>
      </c>
      <c r="H10" s="5" t="n">
        <v>21</v>
      </c>
      <c r="I10" s="5" t="n">
        <v>24</v>
      </c>
      <c r="J10" s="5" t="n">
        <v>22</v>
      </c>
      <c r="K10" s="5" t="n">
        <v>20</v>
      </c>
      <c r="L10" s="5" t="n">
        <v>39</v>
      </c>
      <c r="M10" s="5" t="n">
        <v>35</v>
      </c>
      <c r="N10" s="5" t="n">
        <v>37</v>
      </c>
      <c r="O10" s="5" t="n">
        <v>33</v>
      </c>
      <c r="P10" s="5" t="n">
        <v>29</v>
      </c>
      <c r="Q10" s="5" t="n">
        <v>30</v>
      </c>
      <c r="R10" s="5" t="n">
        <v>55</v>
      </c>
      <c r="S10" s="5" t="n">
        <v>52</v>
      </c>
      <c r="T10" s="5" t="n">
        <v>51</v>
      </c>
      <c r="U10" s="5" t="n">
        <v>53</v>
      </c>
      <c r="V10" s="5" t="n">
        <v>52</v>
      </c>
      <c r="W10" s="5" t="n">
        <v>33</v>
      </c>
      <c r="X10" s="5" t="n">
        <v>20</v>
      </c>
      <c r="Y10" s="5" t="n">
        <v>42</v>
      </c>
      <c r="Z10" s="5" t="n">
        <v>40</v>
      </c>
      <c r="AA10" s="5" t="n">
        <v>38</v>
      </c>
      <c r="AC10" s="32" t="n">
        <v>5</v>
      </c>
    </row>
    <row r="11" ht="21" customHeight="1">
      <c r="A11" s="6" t="inlineStr">
        <is>
          <t>F</t>
        </is>
      </c>
      <c r="B11" s="8" t="n">
        <v>35</v>
      </c>
      <c r="C11" s="5" t="n">
        <v>27</v>
      </c>
      <c r="D11" s="5" t="n">
        <v>19</v>
      </c>
      <c r="E11" s="5" t="n">
        <v>14</v>
      </c>
      <c r="F11" s="5" t="n">
        <v>21</v>
      </c>
      <c r="G11" s="5" t="n">
        <v>21</v>
      </c>
      <c r="H11" s="7" t="n">
        <v>0</v>
      </c>
      <c r="I11" s="5" t="n">
        <v>17</v>
      </c>
      <c r="J11" s="5" t="n">
        <v>11</v>
      </c>
      <c r="K11" s="5" t="n">
        <v>21</v>
      </c>
      <c r="L11" s="5" t="n">
        <v>20</v>
      </c>
      <c r="M11" s="5" t="n">
        <v>30</v>
      </c>
      <c r="N11" s="5" t="n">
        <v>31</v>
      </c>
      <c r="O11" s="5" t="n">
        <v>32</v>
      </c>
      <c r="P11" s="5" t="n">
        <v>43</v>
      </c>
      <c r="Q11" s="5" t="n">
        <v>28</v>
      </c>
      <c r="R11" s="5" t="n">
        <v>47</v>
      </c>
      <c r="S11" s="5" t="n">
        <v>33</v>
      </c>
      <c r="T11" s="5" t="n">
        <v>41</v>
      </c>
      <c r="U11" s="5" t="n">
        <v>50</v>
      </c>
      <c r="V11" s="5" t="n">
        <v>58</v>
      </c>
      <c r="W11" s="5" t="n">
        <v>22</v>
      </c>
      <c r="X11" s="5" t="n">
        <v>12</v>
      </c>
      <c r="Y11" s="5" t="n">
        <v>43</v>
      </c>
      <c r="Z11" s="5" t="n">
        <v>41</v>
      </c>
      <c r="AA11" s="5" t="n">
        <v>48</v>
      </c>
      <c r="AC11" s="32" t="n">
        <v>6</v>
      </c>
    </row>
    <row r="12" ht="21" customHeight="1">
      <c r="A12" s="6" t="inlineStr">
        <is>
          <t>G</t>
        </is>
      </c>
      <c r="B12" s="8" t="n">
        <v>36</v>
      </c>
      <c r="C12" s="5" t="n">
        <v>33</v>
      </c>
      <c r="D12" s="5" t="n">
        <v>17</v>
      </c>
      <c r="E12" s="5" t="n">
        <v>18</v>
      </c>
      <c r="F12" s="5" t="n">
        <v>24</v>
      </c>
      <c r="G12" s="5" t="n">
        <v>24</v>
      </c>
      <c r="H12" s="5" t="n">
        <v>17</v>
      </c>
      <c r="I12" s="7" t="n">
        <v>0</v>
      </c>
      <c r="J12" s="5" t="n">
        <v>7</v>
      </c>
      <c r="K12" s="5" t="n">
        <v>14</v>
      </c>
      <c r="L12" s="5" t="n">
        <v>19</v>
      </c>
      <c r="M12" s="5" t="n">
        <v>24</v>
      </c>
      <c r="N12" s="5" t="n">
        <v>25</v>
      </c>
      <c r="O12" s="5" t="n">
        <v>25</v>
      </c>
      <c r="P12" s="5" t="n">
        <v>26</v>
      </c>
      <c r="Q12" s="5" t="n">
        <v>21</v>
      </c>
      <c r="R12" s="5" t="n">
        <v>39</v>
      </c>
      <c r="S12" s="5" t="n">
        <v>41</v>
      </c>
      <c r="T12" s="5" t="n">
        <v>49</v>
      </c>
      <c r="U12" s="5" t="n">
        <v>42</v>
      </c>
      <c r="V12" s="5" t="n">
        <v>51</v>
      </c>
      <c r="W12" s="5" t="n">
        <v>25</v>
      </c>
      <c r="X12" s="5" t="n">
        <v>15</v>
      </c>
      <c r="Y12" s="5" t="n">
        <v>36</v>
      </c>
      <c r="Z12" s="5" t="n">
        <v>35</v>
      </c>
      <c r="AA12" s="5" t="n">
        <v>30</v>
      </c>
      <c r="AC12" s="32" t="n">
        <v>7</v>
      </c>
    </row>
    <row r="13" ht="21" customHeight="1">
      <c r="A13" s="6" t="inlineStr">
        <is>
          <t>H</t>
        </is>
      </c>
      <c r="B13" s="8" t="n">
        <v>31</v>
      </c>
      <c r="C13" s="5" t="n">
        <v>25</v>
      </c>
      <c r="D13" s="5" t="n">
        <v>9</v>
      </c>
      <c r="E13" s="5" t="n">
        <v>16</v>
      </c>
      <c r="F13" s="5" t="n">
        <v>21</v>
      </c>
      <c r="G13" s="5" t="n">
        <v>22</v>
      </c>
      <c r="H13" s="5" t="n">
        <v>11</v>
      </c>
      <c r="I13" s="5" t="n">
        <v>7</v>
      </c>
      <c r="J13" s="7" t="n">
        <v>0</v>
      </c>
      <c r="K13" s="5" t="n">
        <v>15</v>
      </c>
      <c r="L13" s="5" t="n">
        <v>15</v>
      </c>
      <c r="M13" s="5" t="n">
        <v>24</v>
      </c>
      <c r="N13" s="5" t="n">
        <v>26</v>
      </c>
      <c r="O13" s="5" t="n">
        <v>27</v>
      </c>
      <c r="P13" s="5" t="n">
        <v>28</v>
      </c>
      <c r="Q13" s="5" t="n">
        <v>22</v>
      </c>
      <c r="R13" s="5" t="n">
        <v>40</v>
      </c>
      <c r="S13" s="5" t="n">
        <v>41</v>
      </c>
      <c r="T13" s="5" t="n">
        <v>50</v>
      </c>
      <c r="U13" s="5" t="n">
        <v>43</v>
      </c>
      <c r="V13" s="5" t="n">
        <v>51</v>
      </c>
      <c r="W13" s="5" t="n">
        <v>26</v>
      </c>
      <c r="X13" s="5" t="n">
        <v>16</v>
      </c>
      <c r="Y13" s="5" t="n">
        <v>36</v>
      </c>
      <c r="Z13" s="5" t="n">
        <v>35</v>
      </c>
      <c r="AA13" s="5" t="n">
        <v>31</v>
      </c>
      <c r="AC13" s="32" t="n">
        <v>8</v>
      </c>
    </row>
    <row r="14" ht="21" customHeight="1">
      <c r="A14" s="6" t="inlineStr">
        <is>
          <t>I</t>
        </is>
      </c>
      <c r="B14" s="8" t="n">
        <v>36</v>
      </c>
      <c r="C14" s="5" t="n">
        <v>30</v>
      </c>
      <c r="D14" s="5" t="n">
        <v>18</v>
      </c>
      <c r="E14" s="5" t="n">
        <v>12</v>
      </c>
      <c r="F14" s="5" t="n">
        <v>20</v>
      </c>
      <c r="G14" s="5" t="n">
        <v>20</v>
      </c>
      <c r="H14" s="5" t="n">
        <v>21</v>
      </c>
      <c r="I14" s="5" t="n">
        <v>14</v>
      </c>
      <c r="J14" s="5" t="n">
        <v>15</v>
      </c>
      <c r="K14" s="7" t="n">
        <v>0</v>
      </c>
      <c r="L14" s="5" t="n">
        <v>12</v>
      </c>
      <c r="M14" s="5" t="n">
        <v>17</v>
      </c>
      <c r="N14" s="5" t="n">
        <v>18</v>
      </c>
      <c r="O14" s="5" t="n">
        <v>19</v>
      </c>
      <c r="P14" s="5" t="n">
        <v>18</v>
      </c>
      <c r="Q14" s="5" t="n">
        <v>14</v>
      </c>
      <c r="R14" s="5" t="n">
        <v>33</v>
      </c>
      <c r="S14" s="5" t="n">
        <v>35</v>
      </c>
      <c r="T14" s="5" t="n">
        <v>42</v>
      </c>
      <c r="U14" s="5" t="n">
        <v>36</v>
      </c>
      <c r="V14" s="5" t="n">
        <v>45</v>
      </c>
      <c r="W14" s="5" t="n">
        <v>16</v>
      </c>
      <c r="X14" s="5" t="n">
        <v>3</v>
      </c>
      <c r="Y14" s="5" t="n">
        <v>27</v>
      </c>
      <c r="Z14" s="5" t="n">
        <v>25</v>
      </c>
      <c r="AA14" s="5" t="n">
        <v>22</v>
      </c>
      <c r="AC14" s="32" t="n">
        <v>9</v>
      </c>
    </row>
    <row r="15" ht="21" customHeight="1">
      <c r="A15" s="6" t="inlineStr">
        <is>
          <t>J</t>
        </is>
      </c>
      <c r="B15" s="8" t="n">
        <v>42</v>
      </c>
      <c r="C15" s="5" t="n">
        <v>34</v>
      </c>
      <c r="D15" s="5" t="n">
        <v>27</v>
      </c>
      <c r="E15" s="5" t="n">
        <v>21</v>
      </c>
      <c r="F15" s="5" t="n">
        <v>40</v>
      </c>
      <c r="G15" s="5" t="n">
        <v>39</v>
      </c>
      <c r="H15" s="5" t="n">
        <v>20</v>
      </c>
      <c r="I15" s="5" t="n">
        <v>19</v>
      </c>
      <c r="J15" s="5" t="n">
        <v>15</v>
      </c>
      <c r="K15" s="5" t="n">
        <v>12</v>
      </c>
      <c r="L15" s="7" t="n">
        <v>0</v>
      </c>
      <c r="M15" s="5" t="n">
        <v>18</v>
      </c>
      <c r="N15" s="5" t="n">
        <v>20</v>
      </c>
      <c r="O15" s="5" t="n">
        <v>22</v>
      </c>
      <c r="P15" s="5" t="n">
        <v>25</v>
      </c>
      <c r="Q15" s="5" t="n">
        <v>14</v>
      </c>
      <c r="R15" s="5" t="n">
        <v>41</v>
      </c>
      <c r="S15" s="5" t="n">
        <v>38</v>
      </c>
      <c r="T15" s="5" t="n">
        <v>50</v>
      </c>
      <c r="U15" s="5" t="n">
        <v>46</v>
      </c>
      <c r="V15" s="5" t="n">
        <v>63</v>
      </c>
      <c r="W15" s="5" t="n">
        <v>25</v>
      </c>
      <c r="X15" s="5" t="n">
        <v>17</v>
      </c>
      <c r="Y15" s="5" t="n">
        <v>44</v>
      </c>
      <c r="Z15" s="5" t="n">
        <v>45</v>
      </c>
      <c r="AA15" s="5" t="n">
        <v>34</v>
      </c>
      <c r="AC15" s="32" t="n">
        <v>10</v>
      </c>
    </row>
    <row r="16" ht="21" customHeight="1">
      <c r="A16" s="6" t="inlineStr">
        <is>
          <t>K</t>
        </is>
      </c>
      <c r="B16" s="8" t="n">
        <v>51</v>
      </c>
      <c r="C16" s="5" t="n">
        <v>44</v>
      </c>
      <c r="D16" s="5" t="n">
        <v>33</v>
      </c>
      <c r="E16" s="5" t="n">
        <v>27</v>
      </c>
      <c r="F16" s="5" t="n">
        <v>35</v>
      </c>
      <c r="G16" s="5" t="n">
        <v>35</v>
      </c>
      <c r="H16" s="5" t="n">
        <v>30</v>
      </c>
      <c r="I16" s="5" t="n">
        <v>24</v>
      </c>
      <c r="J16" s="5" t="n">
        <v>24</v>
      </c>
      <c r="K16" s="5" t="n">
        <v>17</v>
      </c>
      <c r="L16" s="5" t="n">
        <v>18</v>
      </c>
      <c r="M16" s="7" t="n">
        <v>0</v>
      </c>
      <c r="N16" s="5" t="n">
        <v>7</v>
      </c>
      <c r="O16" s="5" t="n">
        <v>4</v>
      </c>
      <c r="P16" s="5" t="n">
        <v>9</v>
      </c>
      <c r="Q16" s="5" t="n">
        <v>11</v>
      </c>
      <c r="R16" s="5" t="n">
        <v>24</v>
      </c>
      <c r="S16" s="5" t="n">
        <v>21</v>
      </c>
      <c r="T16" s="5" t="n">
        <v>39</v>
      </c>
      <c r="U16" s="5" t="n">
        <v>29</v>
      </c>
      <c r="V16" s="5" t="n">
        <v>46</v>
      </c>
      <c r="W16" s="5" t="n">
        <v>30</v>
      </c>
      <c r="X16" s="5" t="n">
        <v>37</v>
      </c>
      <c r="Y16" s="5" t="n">
        <v>53</v>
      </c>
      <c r="Z16" s="5" t="n">
        <v>26</v>
      </c>
      <c r="AA16" s="5" t="n">
        <v>34</v>
      </c>
      <c r="AC16" s="32" t="n">
        <v>11</v>
      </c>
    </row>
    <row r="17" ht="21" customHeight="1">
      <c r="A17" s="6" t="inlineStr">
        <is>
          <t>L</t>
        </is>
      </c>
      <c r="B17" s="8" t="n">
        <v>53</v>
      </c>
      <c r="C17" s="5" t="n">
        <v>47</v>
      </c>
      <c r="D17" s="5" t="n">
        <v>28</v>
      </c>
      <c r="E17" s="5" t="n">
        <v>29</v>
      </c>
      <c r="F17" s="5" t="n">
        <v>36</v>
      </c>
      <c r="G17" s="5" t="n">
        <v>37</v>
      </c>
      <c r="H17" s="5" t="n">
        <v>31</v>
      </c>
      <c r="I17" s="5" t="n">
        <v>25</v>
      </c>
      <c r="J17" s="5" t="n">
        <v>26</v>
      </c>
      <c r="K17" s="5" t="n">
        <v>18</v>
      </c>
      <c r="L17" s="5" t="n">
        <v>20</v>
      </c>
      <c r="M17" s="5" t="n">
        <v>7</v>
      </c>
      <c r="N17" s="7" t="n">
        <v>0</v>
      </c>
      <c r="O17" s="5" t="n">
        <v>11</v>
      </c>
      <c r="P17" s="5" t="n">
        <v>10</v>
      </c>
      <c r="Q17" s="5" t="n">
        <v>7</v>
      </c>
      <c r="R17" s="5" t="n">
        <v>29</v>
      </c>
      <c r="S17" s="5" t="n">
        <v>23</v>
      </c>
      <c r="T17" s="5" t="n">
        <v>35</v>
      </c>
      <c r="U17" s="5" t="n">
        <v>34</v>
      </c>
      <c r="V17" s="5" t="n">
        <v>49</v>
      </c>
      <c r="W17" s="5" t="n">
        <v>21</v>
      </c>
      <c r="X17" s="5" t="n">
        <v>31</v>
      </c>
      <c r="Y17" s="5" t="n">
        <v>42</v>
      </c>
      <c r="Z17" s="5" t="n">
        <v>21</v>
      </c>
      <c r="AA17" s="5" t="n">
        <v>27</v>
      </c>
      <c r="AC17" s="32" t="n">
        <v>12</v>
      </c>
    </row>
    <row r="18" ht="21" customHeight="1">
      <c r="A18" s="6" t="inlineStr">
        <is>
          <t>M</t>
        </is>
      </c>
      <c r="B18" s="8" t="n">
        <v>58</v>
      </c>
      <c r="C18" s="5" t="n">
        <v>46</v>
      </c>
      <c r="D18" s="5" t="n">
        <v>38</v>
      </c>
      <c r="E18" s="5" t="n">
        <v>27</v>
      </c>
      <c r="F18" s="5" t="n">
        <v>37</v>
      </c>
      <c r="G18" s="5" t="n">
        <v>33</v>
      </c>
      <c r="H18" s="5" t="n">
        <v>32</v>
      </c>
      <c r="I18" s="5" t="n">
        <v>25</v>
      </c>
      <c r="J18" s="5" t="n">
        <v>27</v>
      </c>
      <c r="K18" s="5" t="n">
        <v>19</v>
      </c>
      <c r="L18" s="5" t="n">
        <v>22</v>
      </c>
      <c r="M18" s="5" t="n">
        <v>4</v>
      </c>
      <c r="N18" s="5" t="n">
        <v>11</v>
      </c>
      <c r="O18" s="7" t="n">
        <v>0</v>
      </c>
      <c r="P18" s="5" t="n">
        <v>13</v>
      </c>
      <c r="Q18" s="5" t="n">
        <v>18</v>
      </c>
      <c r="R18" s="5" t="n">
        <v>25</v>
      </c>
      <c r="S18" s="5" t="n">
        <v>15</v>
      </c>
      <c r="T18" s="5" t="n">
        <v>27</v>
      </c>
      <c r="U18" s="5" t="n">
        <v>24</v>
      </c>
      <c r="V18" s="5" t="n">
        <v>41</v>
      </c>
      <c r="W18" s="5" t="n">
        <v>30</v>
      </c>
      <c r="X18" s="5" t="n">
        <v>39</v>
      </c>
      <c r="Y18" s="5" t="n">
        <v>29</v>
      </c>
      <c r="Z18" s="5" t="n">
        <v>27</v>
      </c>
      <c r="AA18" s="5" t="n">
        <v>23</v>
      </c>
      <c r="AC18" s="32" t="n">
        <v>13</v>
      </c>
    </row>
    <row r="19" ht="21" customHeight="1">
      <c r="A19" s="6" t="inlineStr">
        <is>
          <t>N</t>
        </is>
      </c>
      <c r="B19" s="8" t="n">
        <v>50</v>
      </c>
      <c r="C19" s="5" t="n">
        <v>50</v>
      </c>
      <c r="D19" s="5" t="n">
        <v>41</v>
      </c>
      <c r="E19" s="5" t="n">
        <v>27</v>
      </c>
      <c r="F19" s="5" t="n">
        <v>33</v>
      </c>
      <c r="G19" s="5" t="n">
        <v>29</v>
      </c>
      <c r="H19" s="5" t="n">
        <v>43</v>
      </c>
      <c r="I19" s="5" t="n">
        <v>26</v>
      </c>
      <c r="J19" s="5" t="n">
        <v>28</v>
      </c>
      <c r="K19" s="5" t="n">
        <v>18</v>
      </c>
      <c r="L19" s="5" t="n">
        <v>25</v>
      </c>
      <c r="M19" s="5" t="n">
        <v>9</v>
      </c>
      <c r="N19" s="5" t="n">
        <v>10</v>
      </c>
      <c r="O19" s="5" t="n">
        <v>13</v>
      </c>
      <c r="P19" s="7" t="n">
        <v>0</v>
      </c>
      <c r="Q19" s="5" t="n">
        <v>12</v>
      </c>
      <c r="R19" s="5" t="n">
        <v>20</v>
      </c>
      <c r="S19" s="5" t="n">
        <v>17</v>
      </c>
      <c r="T19" s="5" t="n">
        <v>29</v>
      </c>
      <c r="U19" s="5" t="n">
        <v>19</v>
      </c>
      <c r="V19" s="5" t="n">
        <v>40</v>
      </c>
      <c r="W19" s="5" t="n">
        <v>22</v>
      </c>
      <c r="X19" s="5" t="n">
        <v>38</v>
      </c>
      <c r="Y19" s="5" t="n">
        <v>25</v>
      </c>
      <c r="Z19" s="5" t="n">
        <v>22</v>
      </c>
      <c r="AA19" s="5" t="n">
        <v>17</v>
      </c>
      <c r="AC19" s="32" t="n">
        <v>14</v>
      </c>
    </row>
    <row r="20" ht="21" customHeight="1">
      <c r="A20" s="6" t="inlineStr">
        <is>
          <t>O</t>
        </is>
      </c>
      <c r="B20" s="8" t="n">
        <v>47</v>
      </c>
      <c r="C20" s="5" t="n">
        <v>45</v>
      </c>
      <c r="D20" s="5" t="n">
        <v>34</v>
      </c>
      <c r="E20" s="5" t="n">
        <v>24</v>
      </c>
      <c r="F20" s="5" t="n">
        <v>32</v>
      </c>
      <c r="G20" s="5" t="n">
        <v>30</v>
      </c>
      <c r="H20" s="5" t="n">
        <v>28</v>
      </c>
      <c r="I20" s="5" t="n">
        <v>21</v>
      </c>
      <c r="J20" s="5" t="n">
        <v>22</v>
      </c>
      <c r="K20" s="5" t="n">
        <v>14</v>
      </c>
      <c r="L20" s="5" t="n">
        <v>14</v>
      </c>
      <c r="M20" s="5" t="n">
        <v>11</v>
      </c>
      <c r="N20" s="5" t="n">
        <v>7</v>
      </c>
      <c r="O20" s="5" t="n">
        <v>18</v>
      </c>
      <c r="P20" s="5" t="n">
        <v>12</v>
      </c>
      <c r="Q20" s="7" t="n">
        <v>0</v>
      </c>
      <c r="R20" s="5" t="n">
        <v>19</v>
      </c>
      <c r="S20" s="5" t="n">
        <v>16</v>
      </c>
      <c r="T20" s="5" t="n">
        <v>23</v>
      </c>
      <c r="U20" s="5" t="n">
        <v>27</v>
      </c>
      <c r="V20" s="5" t="n">
        <v>47</v>
      </c>
      <c r="W20" s="5" t="n">
        <v>27</v>
      </c>
      <c r="X20" s="5" t="n">
        <v>26</v>
      </c>
      <c r="Y20" s="5" t="n">
        <v>19</v>
      </c>
      <c r="Z20" s="5" t="n">
        <v>17</v>
      </c>
      <c r="AA20" s="5" t="n">
        <v>21</v>
      </c>
      <c r="AC20" s="32" t="n">
        <v>15</v>
      </c>
    </row>
    <row r="21" ht="21" customHeight="1">
      <c r="A21" s="6" t="inlineStr">
        <is>
          <t>P</t>
        </is>
      </c>
      <c r="B21" s="8" t="n">
        <v>65</v>
      </c>
      <c r="C21" s="5" t="n">
        <v>59</v>
      </c>
      <c r="D21" s="5" t="n">
        <v>42</v>
      </c>
      <c r="E21" s="5" t="n">
        <v>41</v>
      </c>
      <c r="F21" s="5" t="n">
        <v>50</v>
      </c>
      <c r="G21" s="5" t="n">
        <v>55</v>
      </c>
      <c r="H21" s="5" t="n">
        <v>47</v>
      </c>
      <c r="I21" s="5" t="n">
        <v>39</v>
      </c>
      <c r="J21" s="5" t="n">
        <v>40</v>
      </c>
      <c r="K21" s="5" t="n">
        <v>33</v>
      </c>
      <c r="L21" s="5" t="n">
        <v>41</v>
      </c>
      <c r="M21" s="5" t="n">
        <v>24</v>
      </c>
      <c r="N21" s="5" t="n">
        <v>29</v>
      </c>
      <c r="O21" s="5" t="n">
        <v>25</v>
      </c>
      <c r="P21" s="5" t="n">
        <v>20</v>
      </c>
      <c r="Q21" s="5" t="n">
        <v>19</v>
      </c>
      <c r="R21" s="7" t="n">
        <v>0</v>
      </c>
      <c r="S21" s="5" t="n">
        <v>15</v>
      </c>
      <c r="T21" s="5" t="n">
        <v>37</v>
      </c>
      <c r="U21" s="5" t="n">
        <v>6</v>
      </c>
      <c r="V21" s="5" t="n">
        <v>22</v>
      </c>
      <c r="W21" s="5" t="n">
        <v>40</v>
      </c>
      <c r="X21" s="5" t="n">
        <v>58</v>
      </c>
      <c r="Y21" s="5" t="n">
        <v>39</v>
      </c>
      <c r="Z21" s="5" t="n">
        <v>34</v>
      </c>
      <c r="AA21" s="5" t="n">
        <v>41</v>
      </c>
      <c r="AC21" s="32" t="n">
        <v>16</v>
      </c>
    </row>
    <row r="22" ht="21" customHeight="1">
      <c r="A22" s="6" t="inlineStr">
        <is>
          <t>Q</t>
        </is>
      </c>
      <c r="B22" s="8" t="n">
        <v>65</v>
      </c>
      <c r="C22" s="5" t="n">
        <v>63</v>
      </c>
      <c r="D22" s="5" t="n">
        <v>44</v>
      </c>
      <c r="E22" s="5" t="n">
        <v>42</v>
      </c>
      <c r="F22" s="5" t="n">
        <v>52</v>
      </c>
      <c r="G22" s="5" t="n">
        <v>52</v>
      </c>
      <c r="H22" s="5" t="n">
        <v>33</v>
      </c>
      <c r="I22" s="5" t="n">
        <v>41</v>
      </c>
      <c r="J22" s="5" t="n">
        <v>41</v>
      </c>
      <c r="K22" s="5" t="n">
        <v>35</v>
      </c>
      <c r="L22" s="5" t="n">
        <v>38</v>
      </c>
      <c r="M22" s="5" t="n">
        <v>21</v>
      </c>
      <c r="N22" s="5" t="n">
        <v>23</v>
      </c>
      <c r="O22" s="5" t="n">
        <v>15</v>
      </c>
      <c r="P22" s="5" t="n">
        <v>17</v>
      </c>
      <c r="Q22" s="5" t="n">
        <v>16</v>
      </c>
      <c r="R22" s="5" t="n">
        <v>15</v>
      </c>
      <c r="S22" s="7" t="n">
        <v>0</v>
      </c>
      <c r="T22" s="5" t="n">
        <v>11</v>
      </c>
      <c r="U22" s="5" t="n">
        <v>20</v>
      </c>
      <c r="V22" s="5" t="n">
        <v>33</v>
      </c>
      <c r="W22" s="5" t="n">
        <v>37</v>
      </c>
      <c r="X22" s="5" t="n">
        <v>62</v>
      </c>
      <c r="Y22" s="5" t="n">
        <v>35</v>
      </c>
      <c r="Z22" s="5" t="n">
        <v>25</v>
      </c>
      <c r="AA22" s="5" t="n">
        <v>27</v>
      </c>
      <c r="AC22" s="32" t="n">
        <v>17</v>
      </c>
    </row>
    <row r="23" ht="21" customHeight="1">
      <c r="A23" s="6" t="inlineStr">
        <is>
          <t>R</t>
        </is>
      </c>
      <c r="B23" s="8" t="n">
        <v>75</v>
      </c>
      <c r="C23" s="5" t="n">
        <v>71</v>
      </c>
      <c r="D23" s="5" t="n">
        <v>53</v>
      </c>
      <c r="E23" s="5" t="n">
        <v>50</v>
      </c>
      <c r="F23" s="5" t="n">
        <v>60</v>
      </c>
      <c r="G23" s="5" t="n">
        <v>51</v>
      </c>
      <c r="H23" s="5" t="n">
        <v>41</v>
      </c>
      <c r="I23" s="5" t="n">
        <v>49</v>
      </c>
      <c r="J23" s="5" t="n">
        <v>50</v>
      </c>
      <c r="K23" s="5" t="n">
        <v>42</v>
      </c>
      <c r="L23" s="5" t="n">
        <v>50</v>
      </c>
      <c r="M23" s="5" t="n">
        <v>39</v>
      </c>
      <c r="N23" s="5" t="n">
        <v>35</v>
      </c>
      <c r="O23" s="5" t="n">
        <v>27</v>
      </c>
      <c r="P23" s="5" t="n">
        <v>29</v>
      </c>
      <c r="Q23" s="5" t="n">
        <v>23</v>
      </c>
      <c r="R23" s="5" t="n">
        <v>37</v>
      </c>
      <c r="S23" s="5" t="n">
        <v>11</v>
      </c>
      <c r="T23" s="7" t="n">
        <v>0</v>
      </c>
      <c r="U23" s="5" t="n">
        <v>29</v>
      </c>
      <c r="V23" s="5" t="n">
        <v>42</v>
      </c>
      <c r="W23" s="5" t="n">
        <v>41</v>
      </c>
      <c r="X23" s="5" t="n">
        <v>61</v>
      </c>
      <c r="Y23" s="5" t="n">
        <v>39</v>
      </c>
      <c r="Z23" s="5" t="n">
        <v>44</v>
      </c>
      <c r="AA23" s="5" t="n">
        <v>35</v>
      </c>
      <c r="AC23" s="32" t="n">
        <v>18</v>
      </c>
    </row>
    <row r="24" ht="21" customHeight="1">
      <c r="A24" s="6" t="inlineStr">
        <is>
          <t>S</t>
        </is>
      </c>
      <c r="B24" s="8" t="n">
        <v>68</v>
      </c>
      <c r="C24" s="5" t="n">
        <v>75</v>
      </c>
      <c r="D24" s="5" t="n">
        <v>46</v>
      </c>
      <c r="E24" s="5" t="n">
        <v>43</v>
      </c>
      <c r="F24" s="5" t="n">
        <v>55</v>
      </c>
      <c r="G24" s="5" t="n">
        <v>53</v>
      </c>
      <c r="H24" s="5" t="n">
        <v>50</v>
      </c>
      <c r="I24" s="5" t="n">
        <v>42</v>
      </c>
      <c r="J24" s="5" t="n">
        <v>43</v>
      </c>
      <c r="K24" s="5" t="n">
        <v>36</v>
      </c>
      <c r="L24" s="5" t="n">
        <v>46</v>
      </c>
      <c r="M24" s="5" t="n">
        <v>29</v>
      </c>
      <c r="N24" s="5" t="n">
        <v>34</v>
      </c>
      <c r="O24" s="5" t="n">
        <v>24</v>
      </c>
      <c r="P24" s="5" t="n">
        <v>19</v>
      </c>
      <c r="Q24" s="5" t="n">
        <v>27</v>
      </c>
      <c r="R24" s="5" t="n">
        <v>6</v>
      </c>
      <c r="S24" s="5" t="n">
        <v>20</v>
      </c>
      <c r="T24" s="5" t="n">
        <v>29</v>
      </c>
      <c r="U24" s="7" t="n">
        <v>0</v>
      </c>
      <c r="V24" s="5" t="n">
        <v>15</v>
      </c>
      <c r="W24" s="5" t="n">
        <v>42</v>
      </c>
      <c r="X24" s="5" t="n">
        <v>58</v>
      </c>
      <c r="Y24" s="5" t="n">
        <v>42</v>
      </c>
      <c r="Z24" s="5" t="n">
        <v>39</v>
      </c>
      <c r="AA24" s="5" t="n">
        <v>38</v>
      </c>
      <c r="AC24" s="32" t="n">
        <v>9</v>
      </c>
    </row>
    <row r="25" ht="21" customHeight="1">
      <c r="A25" s="6" t="inlineStr">
        <is>
          <t>T</t>
        </is>
      </c>
      <c r="B25" s="8" t="n">
        <v>79</v>
      </c>
      <c r="C25" s="5" t="n">
        <v>64</v>
      </c>
      <c r="D25" s="5" t="n">
        <v>67</v>
      </c>
      <c r="E25" s="5" t="n">
        <v>54</v>
      </c>
      <c r="F25" s="5" t="n">
        <v>63</v>
      </c>
      <c r="G25" s="5" t="n">
        <v>52</v>
      </c>
      <c r="H25" s="5" t="n">
        <v>58</v>
      </c>
      <c r="I25" s="5" t="n">
        <v>51</v>
      </c>
      <c r="J25" s="5" t="n">
        <v>51</v>
      </c>
      <c r="K25" s="5" t="n">
        <v>45</v>
      </c>
      <c r="L25" s="5" t="n">
        <v>63</v>
      </c>
      <c r="M25" s="5" t="n">
        <v>46</v>
      </c>
      <c r="N25" s="5" t="n">
        <v>49</v>
      </c>
      <c r="O25" s="5" t="n">
        <v>41</v>
      </c>
      <c r="P25" s="5" t="n">
        <v>40</v>
      </c>
      <c r="Q25" s="5" t="n">
        <v>47</v>
      </c>
      <c r="R25" s="5" t="n">
        <v>22</v>
      </c>
      <c r="S25" s="5" t="n">
        <v>33</v>
      </c>
      <c r="T25" s="5" t="n">
        <v>42</v>
      </c>
      <c r="U25" s="5" t="n">
        <v>15</v>
      </c>
      <c r="V25" s="7" t="n">
        <v>0</v>
      </c>
      <c r="W25" s="5" t="n">
        <v>60</v>
      </c>
      <c r="X25" s="5" t="n">
        <v>79</v>
      </c>
      <c r="Y25" s="5" t="n">
        <v>55</v>
      </c>
      <c r="Z25" s="5" t="n">
        <v>27</v>
      </c>
      <c r="AA25" s="5" t="n">
        <v>54</v>
      </c>
      <c r="AC25" s="32" t="n">
        <v>20</v>
      </c>
    </row>
    <row r="26" ht="21" customHeight="1">
      <c r="A26" s="6" t="inlineStr">
        <is>
          <t>U</t>
        </is>
      </c>
      <c r="B26" s="8" t="n">
        <v>44</v>
      </c>
      <c r="C26" s="5" t="n">
        <v>42</v>
      </c>
      <c r="D26" s="5" t="n">
        <v>37</v>
      </c>
      <c r="E26" s="5" t="n">
        <v>21</v>
      </c>
      <c r="F26" s="5" t="n">
        <v>34</v>
      </c>
      <c r="G26" s="5" t="n">
        <v>33</v>
      </c>
      <c r="H26" s="5" t="n">
        <v>22</v>
      </c>
      <c r="I26" s="5" t="n">
        <v>25</v>
      </c>
      <c r="J26" s="5" t="n">
        <v>26</v>
      </c>
      <c r="K26" s="5" t="n">
        <v>16</v>
      </c>
      <c r="L26" s="5" t="n">
        <v>25</v>
      </c>
      <c r="M26" s="5" t="n">
        <v>30</v>
      </c>
      <c r="N26" s="5" t="n">
        <v>21</v>
      </c>
      <c r="O26" s="5" t="n">
        <v>30</v>
      </c>
      <c r="P26" s="5" t="n">
        <v>22</v>
      </c>
      <c r="Q26" s="5" t="n">
        <v>27</v>
      </c>
      <c r="R26" s="5" t="n">
        <v>40</v>
      </c>
      <c r="S26" s="5" t="n">
        <v>37</v>
      </c>
      <c r="T26" s="5" t="n">
        <v>41</v>
      </c>
      <c r="U26" s="5" t="n">
        <v>42</v>
      </c>
      <c r="V26" s="5" t="n">
        <v>60</v>
      </c>
      <c r="W26" s="7" t="n">
        <v>0</v>
      </c>
      <c r="X26" s="5" t="n">
        <v>21</v>
      </c>
      <c r="Y26" s="5" t="n">
        <v>27</v>
      </c>
      <c r="Z26" s="5" t="n">
        <v>17</v>
      </c>
      <c r="AA26" s="5" t="n">
        <v>11</v>
      </c>
      <c r="AC26" s="32" t="n">
        <v>1</v>
      </c>
    </row>
    <row r="27" ht="21" customHeight="1">
      <c r="A27" s="6" t="inlineStr">
        <is>
          <t>V</t>
        </is>
      </c>
      <c r="B27" s="8" t="n">
        <v>34</v>
      </c>
      <c r="C27" s="5" t="n">
        <v>27</v>
      </c>
      <c r="D27" s="5" t="n">
        <v>21</v>
      </c>
      <c r="E27" s="5" t="n">
        <v>10</v>
      </c>
      <c r="F27" s="5" t="n">
        <v>20</v>
      </c>
      <c r="G27" s="5" t="n">
        <v>20</v>
      </c>
      <c r="H27" s="5" t="n">
        <v>12</v>
      </c>
      <c r="I27" s="5" t="n">
        <v>15</v>
      </c>
      <c r="J27" s="5" t="n">
        <v>16</v>
      </c>
      <c r="K27" s="5" t="n">
        <v>3</v>
      </c>
      <c r="L27" s="5" t="n">
        <v>17</v>
      </c>
      <c r="M27" s="5" t="n">
        <v>37</v>
      </c>
      <c r="N27" s="5" t="n">
        <v>31</v>
      </c>
      <c r="O27" s="5" t="n">
        <v>39</v>
      </c>
      <c r="P27" s="5" t="n">
        <v>38</v>
      </c>
      <c r="Q27" s="5" t="n">
        <v>26</v>
      </c>
      <c r="R27" s="5" t="n">
        <v>58</v>
      </c>
      <c r="S27" s="5" t="n">
        <v>62</v>
      </c>
      <c r="T27" s="5" t="n">
        <v>61</v>
      </c>
      <c r="U27" s="5" t="n">
        <v>58</v>
      </c>
      <c r="V27" s="5" t="n">
        <v>79</v>
      </c>
      <c r="W27" s="5" t="n">
        <v>21</v>
      </c>
      <c r="X27" s="7" t="n">
        <v>0</v>
      </c>
      <c r="Y27" s="5" t="n">
        <v>37</v>
      </c>
      <c r="Z27" s="5" t="n">
        <v>29</v>
      </c>
      <c r="AA27" s="5" t="n">
        <v>33</v>
      </c>
      <c r="AC27" s="32" t="n">
        <v>2</v>
      </c>
    </row>
    <row r="28" ht="21" customHeight="1">
      <c r="A28" s="6" t="inlineStr">
        <is>
          <t>W</t>
        </is>
      </c>
      <c r="B28" s="8" t="n">
        <v>49</v>
      </c>
      <c r="C28" s="5" t="n">
        <v>43</v>
      </c>
      <c r="D28" s="5" t="n">
        <v>44</v>
      </c>
      <c r="E28" s="5" t="n">
        <v>30</v>
      </c>
      <c r="F28" s="5" t="n">
        <v>43</v>
      </c>
      <c r="G28" s="5" t="n">
        <v>42</v>
      </c>
      <c r="H28" s="5" t="n">
        <v>43</v>
      </c>
      <c r="I28" s="5" t="n">
        <v>36</v>
      </c>
      <c r="J28" s="5" t="n">
        <v>36</v>
      </c>
      <c r="K28" s="5" t="n">
        <v>27</v>
      </c>
      <c r="L28" s="5" t="n">
        <v>44</v>
      </c>
      <c r="M28" s="5" t="n">
        <v>53</v>
      </c>
      <c r="N28" s="5" t="n">
        <v>42</v>
      </c>
      <c r="O28" s="5" t="n">
        <v>29</v>
      </c>
      <c r="P28" s="5" t="n">
        <v>25</v>
      </c>
      <c r="Q28" s="5" t="n">
        <v>19</v>
      </c>
      <c r="R28" s="5" t="n">
        <v>39</v>
      </c>
      <c r="S28" s="5" t="n">
        <v>35</v>
      </c>
      <c r="T28" s="5" t="n">
        <v>39</v>
      </c>
      <c r="U28" s="5" t="n">
        <v>42</v>
      </c>
      <c r="V28" s="5" t="n">
        <v>55</v>
      </c>
      <c r="W28" s="5" t="n">
        <v>27</v>
      </c>
      <c r="X28" s="5" t="n">
        <v>37</v>
      </c>
      <c r="Y28" s="7" t="n">
        <v>0</v>
      </c>
      <c r="Z28" s="5" t="n">
        <v>9</v>
      </c>
      <c r="AA28" s="5" t="n">
        <v>20</v>
      </c>
      <c r="AC28" s="32" t="n">
        <v>3</v>
      </c>
    </row>
    <row r="29" ht="21" customHeight="1">
      <c r="A29" s="6" t="inlineStr">
        <is>
          <t>X</t>
        </is>
      </c>
      <c r="B29" s="8" t="n">
        <v>52</v>
      </c>
      <c r="C29" s="5" t="n">
        <v>47</v>
      </c>
      <c r="D29" s="5" t="n">
        <v>55</v>
      </c>
      <c r="E29" s="5" t="n">
        <v>28</v>
      </c>
      <c r="F29" s="5" t="n">
        <v>40</v>
      </c>
      <c r="G29" s="5" t="n">
        <v>40</v>
      </c>
      <c r="H29" s="5" t="n">
        <v>41</v>
      </c>
      <c r="I29" s="5" t="n">
        <v>35</v>
      </c>
      <c r="J29" s="5" t="n">
        <v>35</v>
      </c>
      <c r="K29" s="5" t="n">
        <v>25</v>
      </c>
      <c r="L29" s="5" t="n">
        <v>45</v>
      </c>
      <c r="M29" s="5" t="n">
        <v>26</v>
      </c>
      <c r="N29" s="5" t="n">
        <v>21</v>
      </c>
      <c r="O29" s="5" t="n">
        <v>27</v>
      </c>
      <c r="P29" s="5" t="n">
        <v>22</v>
      </c>
      <c r="Q29" s="5" t="n">
        <v>17</v>
      </c>
      <c r="R29" s="5" t="n">
        <v>34</v>
      </c>
      <c r="S29" s="5" t="n">
        <v>25</v>
      </c>
      <c r="T29" s="5" t="n">
        <v>44</v>
      </c>
      <c r="U29" s="5" t="n">
        <v>39</v>
      </c>
      <c r="V29" s="5" t="n">
        <v>27</v>
      </c>
      <c r="W29" s="5" t="n">
        <v>17</v>
      </c>
      <c r="X29" s="5" t="n">
        <v>29</v>
      </c>
      <c r="Y29" s="5" t="n">
        <v>9</v>
      </c>
      <c r="Z29" s="7" t="n">
        <v>0</v>
      </c>
      <c r="AA29" s="5" t="n">
        <v>15</v>
      </c>
      <c r="AC29" s="32" t="n">
        <v>4</v>
      </c>
    </row>
    <row r="30" ht="21" customHeight="1">
      <c r="A30" s="6" t="inlineStr">
        <is>
          <t>Y</t>
        </is>
      </c>
      <c r="B30" s="8" t="n">
        <v>49</v>
      </c>
      <c r="C30" s="5" t="n">
        <v>49</v>
      </c>
      <c r="D30" s="5" t="n">
        <v>30</v>
      </c>
      <c r="E30" s="5" t="n">
        <v>25</v>
      </c>
      <c r="F30" s="5" t="n">
        <v>38</v>
      </c>
      <c r="G30" s="5" t="n">
        <v>38</v>
      </c>
      <c r="H30" s="5" t="n">
        <v>48</v>
      </c>
      <c r="I30" s="5" t="n">
        <v>30</v>
      </c>
      <c r="J30" s="5" t="n">
        <v>31</v>
      </c>
      <c r="K30" s="5" t="n">
        <v>22</v>
      </c>
      <c r="L30" s="5" t="n">
        <v>34</v>
      </c>
      <c r="M30" s="5" t="n">
        <v>34</v>
      </c>
      <c r="N30" s="5" t="n">
        <v>27</v>
      </c>
      <c r="O30" s="5" t="n">
        <v>23</v>
      </c>
      <c r="P30" s="5" t="n">
        <v>17</v>
      </c>
      <c r="Q30" s="5" t="n">
        <v>21</v>
      </c>
      <c r="R30" s="5" t="n">
        <v>41</v>
      </c>
      <c r="S30" s="5" t="n">
        <v>27</v>
      </c>
      <c r="T30" s="5" t="n">
        <v>35</v>
      </c>
      <c r="U30" s="5" t="n">
        <v>38</v>
      </c>
      <c r="V30" s="5" t="n">
        <v>54</v>
      </c>
      <c r="W30" s="5" t="n">
        <v>11</v>
      </c>
      <c r="X30" s="5" t="n">
        <v>33</v>
      </c>
      <c r="Y30" s="5" t="n">
        <v>20</v>
      </c>
      <c r="Z30" s="5" t="n">
        <v>15</v>
      </c>
      <c r="AA30" s="7" t="n">
        <v>0</v>
      </c>
      <c r="AC30" s="32" t="n">
        <v>5</v>
      </c>
    </row>
    <row r="34">
      <c r="A34" s="99" t="inlineStr">
        <is>
          <t>TRUK 1</t>
        </is>
      </c>
    </row>
    <row r="35" ht="43.5" customHeight="1">
      <c r="E35" s="33" t="inlineStr">
        <is>
          <t>RUTE TRUK 1</t>
        </is>
      </c>
      <c r="F35" s="100" t="inlineStr">
        <is>
          <t>GUDANG – D – E – F – G – H – I – U – V – W – X – Y – GUDANG</t>
        </is>
      </c>
      <c r="N35" s="36" t="inlineStr">
        <is>
          <t>RUTE TRUK 1 BARU</t>
        </is>
      </c>
      <c r="O35" s="98" t="inlineStr">
        <is>
          <t>GUDANG - D - E - I - V - F - H - G - U - Y - X - W - GUDANG</t>
        </is>
      </c>
      <c r="W35" s="37" t="inlineStr">
        <is>
          <t>TOTAL WAKTU</t>
        </is>
      </c>
      <c r="X35" s="38">
        <f>SUM(F40,I40,L43,O44,R40,U41,X40,AA40,AD42,AG41,AJ40,B28,Y5)</f>
        <v/>
      </c>
    </row>
    <row r="36"/>
    <row r="39">
      <c r="E39" s="87" t="inlineStr">
        <is>
          <t>JARAK DARI GUDANG</t>
        </is>
      </c>
      <c r="F39" s="137" t="n"/>
      <c r="H39" s="87" t="inlineStr">
        <is>
          <t>D</t>
        </is>
      </c>
      <c r="I39" s="137" t="n"/>
      <c r="K39" s="87" t="inlineStr">
        <is>
          <t>E</t>
        </is>
      </c>
      <c r="L39" s="137" t="n"/>
      <c r="N39" s="87" t="inlineStr">
        <is>
          <t>I</t>
        </is>
      </c>
      <c r="O39" s="137" t="n"/>
      <c r="Q39" s="87" t="inlineStr">
        <is>
          <t>V</t>
        </is>
      </c>
      <c r="R39" s="137" t="n"/>
      <c r="T39" s="87" t="inlineStr">
        <is>
          <t>F</t>
        </is>
      </c>
      <c r="U39" s="137" t="n"/>
      <c r="W39" s="87" t="inlineStr">
        <is>
          <t>H</t>
        </is>
      </c>
      <c r="X39" s="137" t="n"/>
      <c r="Z39" s="87" t="inlineStr">
        <is>
          <t>G</t>
        </is>
      </c>
      <c r="AA39" s="137" t="n"/>
      <c r="AC39" s="87" t="inlineStr">
        <is>
          <t>U</t>
        </is>
      </c>
      <c r="AD39" s="137" t="n"/>
      <c r="AF39" s="87" t="inlineStr">
        <is>
          <t>Y</t>
        </is>
      </c>
      <c r="AG39" s="137" t="n"/>
      <c r="AI39" s="87" t="inlineStr">
        <is>
          <t>X</t>
        </is>
      </c>
      <c r="AJ39" s="137" t="n"/>
      <c r="AL39" s="105" t="n"/>
    </row>
    <row r="40">
      <c r="E40" s="35" t="inlineStr">
        <is>
          <t>D</t>
        </is>
      </c>
      <c r="F40" s="35" t="n">
        <v>24</v>
      </c>
      <c r="H40" s="35" t="inlineStr">
        <is>
          <t>E</t>
        </is>
      </c>
      <c r="I40" s="35" t="n">
        <v>17</v>
      </c>
      <c r="K40" s="8" t="inlineStr">
        <is>
          <t>F</t>
        </is>
      </c>
      <c r="L40" s="8" t="n">
        <v>21</v>
      </c>
      <c r="N40" s="8" t="inlineStr">
        <is>
          <t>F</t>
        </is>
      </c>
      <c r="O40" s="8" t="n">
        <v>21</v>
      </c>
      <c r="Q40" s="35" t="inlineStr">
        <is>
          <t>F</t>
        </is>
      </c>
      <c r="R40" s="35" t="n">
        <v>12</v>
      </c>
      <c r="T40" s="8" t="inlineStr">
        <is>
          <t>G</t>
        </is>
      </c>
      <c r="U40" s="8" t="n">
        <v>17</v>
      </c>
      <c r="W40" s="35" t="inlineStr">
        <is>
          <t>G</t>
        </is>
      </c>
      <c r="X40" s="35" t="n">
        <v>7</v>
      </c>
      <c r="Z40" s="35" t="inlineStr">
        <is>
          <t>U</t>
        </is>
      </c>
      <c r="AA40" s="35" t="n">
        <v>25</v>
      </c>
      <c r="AC40" s="8" t="inlineStr">
        <is>
          <t>W</t>
        </is>
      </c>
      <c r="AD40" s="8" t="n">
        <v>27</v>
      </c>
      <c r="AF40" s="8" t="inlineStr">
        <is>
          <t>W</t>
        </is>
      </c>
      <c r="AG40" s="8" t="n">
        <v>20</v>
      </c>
      <c r="AI40" s="35" t="inlineStr">
        <is>
          <t>W</t>
        </is>
      </c>
      <c r="AJ40" s="35" t="n">
        <v>9</v>
      </c>
    </row>
    <row r="41">
      <c r="E41" s="8" t="inlineStr">
        <is>
          <t>E</t>
        </is>
      </c>
      <c r="F41" s="8" t="n">
        <v>34</v>
      </c>
      <c r="H41" s="8" t="inlineStr">
        <is>
          <t>F</t>
        </is>
      </c>
      <c r="I41" s="8" t="n">
        <v>21</v>
      </c>
      <c r="K41" s="8" t="inlineStr">
        <is>
          <t>G</t>
        </is>
      </c>
      <c r="L41" s="8" t="n">
        <v>24</v>
      </c>
      <c r="N41" s="8" t="inlineStr">
        <is>
          <t>G</t>
        </is>
      </c>
      <c r="O41" s="8" t="n">
        <v>14</v>
      </c>
      <c r="Q41" s="8" t="inlineStr">
        <is>
          <t>G</t>
        </is>
      </c>
      <c r="R41" s="8" t="n">
        <v>15</v>
      </c>
      <c r="T41" s="35" t="inlineStr">
        <is>
          <t>H</t>
        </is>
      </c>
      <c r="U41" s="35" t="n">
        <v>11</v>
      </c>
      <c r="W41" s="8" t="inlineStr">
        <is>
          <t>U</t>
        </is>
      </c>
      <c r="X41" s="8" t="n">
        <v>26</v>
      </c>
      <c r="Z41" s="8" t="inlineStr">
        <is>
          <t>W</t>
        </is>
      </c>
      <c r="AA41" s="8" t="n">
        <v>36</v>
      </c>
      <c r="AC41" s="8" t="inlineStr">
        <is>
          <t>X</t>
        </is>
      </c>
      <c r="AD41" s="8" t="n">
        <v>17</v>
      </c>
      <c r="AF41" s="35" t="inlineStr">
        <is>
          <t>X</t>
        </is>
      </c>
      <c r="AG41" s="35" t="n">
        <v>15</v>
      </c>
    </row>
    <row r="42">
      <c r="E42" s="8" t="inlineStr">
        <is>
          <t>F</t>
        </is>
      </c>
      <c r="F42" s="8" t="n">
        <v>35</v>
      </c>
      <c r="H42" s="8" t="inlineStr">
        <is>
          <t>G</t>
        </is>
      </c>
      <c r="I42" s="8" t="n">
        <v>24</v>
      </c>
      <c r="K42" s="8" t="inlineStr">
        <is>
          <t>H</t>
        </is>
      </c>
      <c r="L42" s="8" t="n">
        <v>22</v>
      </c>
      <c r="N42" s="8" t="inlineStr">
        <is>
          <t>H</t>
        </is>
      </c>
      <c r="O42" s="8" t="n">
        <v>15</v>
      </c>
      <c r="Q42" s="8" t="inlineStr">
        <is>
          <t>H</t>
        </is>
      </c>
      <c r="R42" s="8" t="n">
        <v>16</v>
      </c>
      <c r="T42" s="8" t="inlineStr">
        <is>
          <t>U</t>
        </is>
      </c>
      <c r="U42" s="8" t="n">
        <v>22</v>
      </c>
      <c r="W42" s="8" t="inlineStr">
        <is>
          <t>W</t>
        </is>
      </c>
      <c r="X42" s="8" t="n">
        <v>36</v>
      </c>
      <c r="Z42" s="8" t="inlineStr">
        <is>
          <t>X</t>
        </is>
      </c>
      <c r="AA42" s="8" t="n">
        <v>35</v>
      </c>
      <c r="AC42" s="35" t="inlineStr">
        <is>
          <t>Y</t>
        </is>
      </c>
      <c r="AD42" s="35" t="n">
        <v>11</v>
      </c>
    </row>
    <row r="43">
      <c r="E43" s="8" t="inlineStr">
        <is>
          <t>G</t>
        </is>
      </c>
      <c r="F43" s="8" t="n">
        <v>36</v>
      </c>
      <c r="H43" s="8" t="inlineStr">
        <is>
          <t>H</t>
        </is>
      </c>
      <c r="I43" s="8" t="n">
        <v>21</v>
      </c>
      <c r="K43" s="35" t="inlineStr">
        <is>
          <t>I</t>
        </is>
      </c>
      <c r="L43" s="35" t="n">
        <v>20</v>
      </c>
      <c r="N43" s="8" t="inlineStr">
        <is>
          <t>U</t>
        </is>
      </c>
      <c r="O43" s="8" t="n">
        <v>16</v>
      </c>
      <c r="Q43" s="8" t="inlineStr">
        <is>
          <t>U</t>
        </is>
      </c>
      <c r="R43" s="8" t="n">
        <v>21</v>
      </c>
      <c r="T43" s="8" t="inlineStr">
        <is>
          <t>W</t>
        </is>
      </c>
      <c r="U43" s="8" t="n">
        <v>43</v>
      </c>
      <c r="W43" s="8" t="inlineStr">
        <is>
          <t>X</t>
        </is>
      </c>
      <c r="X43" s="8" t="n">
        <v>35</v>
      </c>
      <c r="Z43" s="8" t="inlineStr">
        <is>
          <t>Y</t>
        </is>
      </c>
      <c r="AA43" s="8" t="n">
        <v>30</v>
      </c>
    </row>
    <row r="44">
      <c r="E44" s="8" t="inlineStr">
        <is>
          <t>H</t>
        </is>
      </c>
      <c r="F44" s="8" t="n">
        <v>31</v>
      </c>
      <c r="H44" s="8" t="inlineStr">
        <is>
          <t>I</t>
        </is>
      </c>
      <c r="I44" s="8" t="n">
        <v>20</v>
      </c>
      <c r="K44" s="8" t="inlineStr">
        <is>
          <t>U</t>
        </is>
      </c>
      <c r="L44" s="8" t="n">
        <v>33</v>
      </c>
      <c r="N44" s="35" t="inlineStr">
        <is>
          <t>V</t>
        </is>
      </c>
      <c r="O44" s="35" t="n">
        <v>3</v>
      </c>
      <c r="Q44" s="8" t="inlineStr">
        <is>
          <t>W</t>
        </is>
      </c>
      <c r="R44" s="8" t="n">
        <v>37</v>
      </c>
      <c r="T44" s="8" t="inlineStr">
        <is>
          <t>X</t>
        </is>
      </c>
      <c r="U44" s="8" t="n">
        <v>41</v>
      </c>
      <c r="W44" s="8" t="inlineStr">
        <is>
          <t>Y</t>
        </is>
      </c>
      <c r="X44" s="8" t="n">
        <v>31</v>
      </c>
    </row>
    <row r="45">
      <c r="E45" s="8" t="inlineStr">
        <is>
          <t>I</t>
        </is>
      </c>
      <c r="F45" s="8" t="n">
        <v>36</v>
      </c>
      <c r="H45" s="8" t="inlineStr">
        <is>
          <t>U</t>
        </is>
      </c>
      <c r="I45" s="8" t="n">
        <v>34</v>
      </c>
      <c r="K45" s="8" t="inlineStr">
        <is>
          <t>V</t>
        </is>
      </c>
      <c r="L45" s="8" t="n">
        <v>20</v>
      </c>
      <c r="N45" s="8" t="inlineStr">
        <is>
          <t>W</t>
        </is>
      </c>
      <c r="O45" s="8" t="n">
        <v>27</v>
      </c>
      <c r="Q45" s="8" t="inlineStr">
        <is>
          <t>X</t>
        </is>
      </c>
      <c r="R45" s="8" t="n">
        <v>29</v>
      </c>
      <c r="T45" s="8" t="inlineStr">
        <is>
          <t>Y</t>
        </is>
      </c>
      <c r="U45" s="8" t="n">
        <v>48</v>
      </c>
    </row>
    <row r="46">
      <c r="E46" s="8" t="inlineStr">
        <is>
          <t>U</t>
        </is>
      </c>
      <c r="F46" s="8" t="n">
        <v>44</v>
      </c>
      <c r="H46" s="8" t="inlineStr">
        <is>
          <t>V</t>
        </is>
      </c>
      <c r="I46" s="8" t="n">
        <v>20</v>
      </c>
      <c r="K46" s="8" t="inlineStr">
        <is>
          <t>W</t>
        </is>
      </c>
      <c r="L46" s="8" t="n">
        <v>42</v>
      </c>
      <c r="N46" s="8" t="inlineStr">
        <is>
          <t>X</t>
        </is>
      </c>
      <c r="O46" s="8" t="n">
        <v>25</v>
      </c>
      <c r="Q46" s="8" t="inlineStr">
        <is>
          <t>Y</t>
        </is>
      </c>
      <c r="R46" s="8" t="n">
        <v>33</v>
      </c>
    </row>
    <row r="47">
      <c r="E47" s="8" t="inlineStr">
        <is>
          <t>V</t>
        </is>
      </c>
      <c r="F47" s="8" t="n">
        <v>34</v>
      </c>
      <c r="H47" s="8" t="inlineStr">
        <is>
          <t>W</t>
        </is>
      </c>
      <c r="I47" s="8" t="n">
        <v>43</v>
      </c>
      <c r="K47" s="8" t="inlineStr">
        <is>
          <t>X</t>
        </is>
      </c>
      <c r="L47" s="8" t="n">
        <v>40</v>
      </c>
      <c r="N47" s="8" t="inlineStr">
        <is>
          <t>Y</t>
        </is>
      </c>
      <c r="O47" s="8" t="n">
        <v>22</v>
      </c>
    </row>
    <row r="48">
      <c r="E48" s="8" t="inlineStr">
        <is>
          <t>W</t>
        </is>
      </c>
      <c r="F48" s="8" t="n">
        <v>49</v>
      </c>
      <c r="H48" s="8" t="inlineStr">
        <is>
          <t>X</t>
        </is>
      </c>
      <c r="I48" s="8" t="n">
        <v>40</v>
      </c>
      <c r="K48" s="8" t="inlineStr">
        <is>
          <t>Y</t>
        </is>
      </c>
      <c r="L48" s="8" t="n">
        <v>38</v>
      </c>
    </row>
    <row r="49">
      <c r="E49" s="8" t="inlineStr">
        <is>
          <t>X</t>
        </is>
      </c>
      <c r="F49" s="8" t="n">
        <v>52</v>
      </c>
      <c r="H49" s="8" t="inlineStr">
        <is>
          <t>Y</t>
        </is>
      </c>
      <c r="I49" s="8" t="n">
        <v>38</v>
      </c>
    </row>
    <row r="50">
      <c r="E50" s="8" t="inlineStr">
        <is>
          <t>Y</t>
        </is>
      </c>
      <c r="F50" s="8" t="n">
        <v>49</v>
      </c>
    </row>
    <row r="54">
      <c r="A54" s="99" t="inlineStr">
        <is>
          <t>TRUK 2</t>
        </is>
      </c>
      <c r="E54" s="100" t="inlineStr">
        <is>
          <t>RUTE TRUK 2</t>
        </is>
      </c>
      <c r="F54" s="100" t="inlineStr">
        <is>
          <t>GUDANG – A – B – C – N – O – P – Q – R – S – T – GUDANG</t>
        </is>
      </c>
      <c r="N54" s="101" t="inlineStr">
        <is>
          <t>RUTE TRUK 2 BARU</t>
        </is>
      </c>
      <c r="O54" s="98" t="inlineStr">
        <is>
          <t>GUDANG - A - B - C - O - N - Q - R - S - P - T - GUDANG</t>
        </is>
      </c>
      <c r="W54" s="102" t="inlineStr">
        <is>
          <t>TOTAL WAKTU</t>
        </is>
      </c>
      <c r="X54" s="98">
        <f>SUM(F60,I60,L60,O61,R60,U61,X61,AA61,AD60,AG60,V5)</f>
        <v/>
      </c>
    </row>
    <row r="55"/>
    <row r="56"/>
    <row r="59">
      <c r="E59" s="87" t="inlineStr">
        <is>
          <t>JARAK DARI GUDANG</t>
        </is>
      </c>
      <c r="F59" s="137" t="n"/>
      <c r="H59" s="87" t="inlineStr">
        <is>
          <t>A</t>
        </is>
      </c>
      <c r="I59" s="137" t="n"/>
      <c r="K59" s="87" t="inlineStr">
        <is>
          <t>B</t>
        </is>
      </c>
      <c r="L59" s="137" t="n"/>
      <c r="N59" s="87" t="inlineStr">
        <is>
          <t>C</t>
        </is>
      </c>
      <c r="O59" s="137" t="n"/>
      <c r="Q59" s="87" t="inlineStr">
        <is>
          <t>O</t>
        </is>
      </c>
      <c r="R59" s="137" t="n"/>
      <c r="T59" s="87" t="inlineStr">
        <is>
          <t>N</t>
        </is>
      </c>
      <c r="U59" s="137" t="n"/>
      <c r="W59" s="87" t="inlineStr">
        <is>
          <t>Q</t>
        </is>
      </c>
      <c r="X59" s="137" t="n"/>
      <c r="Z59" s="87" t="inlineStr">
        <is>
          <t>R</t>
        </is>
      </c>
      <c r="AA59" s="137" t="n"/>
      <c r="AC59" s="87" t="inlineStr">
        <is>
          <t>S</t>
        </is>
      </c>
      <c r="AD59" s="137" t="n"/>
      <c r="AF59" s="87" t="inlineStr">
        <is>
          <t>P</t>
        </is>
      </c>
      <c r="AG59" s="137" t="n"/>
    </row>
    <row r="60">
      <c r="E60" s="45" t="inlineStr">
        <is>
          <t>A</t>
        </is>
      </c>
      <c r="F60" s="45" t="n">
        <v>14</v>
      </c>
      <c r="H60" s="45" t="inlineStr">
        <is>
          <t>B</t>
        </is>
      </c>
      <c r="I60" s="45" t="n">
        <v>17</v>
      </c>
      <c r="K60" s="45" t="inlineStr">
        <is>
          <t>C</t>
        </is>
      </c>
      <c r="L60" s="45" t="n">
        <v>15</v>
      </c>
      <c r="N60" s="8" t="inlineStr">
        <is>
          <t>N</t>
        </is>
      </c>
      <c r="O60" s="8" t="n">
        <v>27</v>
      </c>
      <c r="Q60" s="45" t="inlineStr">
        <is>
          <t>N</t>
        </is>
      </c>
      <c r="R60" s="45" t="n">
        <v>12</v>
      </c>
      <c r="T60" s="8" t="inlineStr">
        <is>
          <t>P</t>
        </is>
      </c>
      <c r="U60" s="8" t="n">
        <v>20</v>
      </c>
      <c r="W60" s="8" t="inlineStr">
        <is>
          <t>P</t>
        </is>
      </c>
      <c r="X60" s="8" t="n">
        <v>15</v>
      </c>
      <c r="Z60" s="8" t="inlineStr">
        <is>
          <t>P</t>
        </is>
      </c>
      <c r="AA60" s="8" t="n">
        <v>37</v>
      </c>
      <c r="AC60" s="45" t="inlineStr">
        <is>
          <t>P</t>
        </is>
      </c>
      <c r="AD60" s="45" t="n">
        <v>6</v>
      </c>
      <c r="AF60" s="45" t="inlineStr">
        <is>
          <t>T</t>
        </is>
      </c>
      <c r="AG60" s="45" t="n">
        <v>22</v>
      </c>
    </row>
    <row r="61">
      <c r="E61" s="8" t="inlineStr">
        <is>
          <t>B</t>
        </is>
      </c>
      <c r="F61" s="8" t="n">
        <v>25</v>
      </c>
      <c r="H61" s="8" t="inlineStr">
        <is>
          <t>C</t>
        </is>
      </c>
      <c r="I61" s="8" t="n">
        <v>19</v>
      </c>
      <c r="K61" s="8" t="inlineStr">
        <is>
          <t>N</t>
        </is>
      </c>
      <c r="L61" s="8" t="n">
        <v>41</v>
      </c>
      <c r="N61" s="45" t="inlineStr">
        <is>
          <t>O</t>
        </is>
      </c>
      <c r="O61" s="45" t="n">
        <v>24</v>
      </c>
      <c r="Q61" s="8" t="inlineStr">
        <is>
          <t>P</t>
        </is>
      </c>
      <c r="R61" s="8" t="n">
        <v>19</v>
      </c>
      <c r="T61" s="45" t="inlineStr">
        <is>
          <t>Q</t>
        </is>
      </c>
      <c r="U61" s="45" t="n">
        <v>17</v>
      </c>
      <c r="W61" s="45" t="inlineStr">
        <is>
          <t>R</t>
        </is>
      </c>
      <c r="X61" s="45" t="n">
        <v>11</v>
      </c>
      <c r="Z61" s="45" t="inlineStr">
        <is>
          <t>S</t>
        </is>
      </c>
      <c r="AA61" s="45" t="n">
        <v>29</v>
      </c>
      <c r="AC61" s="8" t="inlineStr">
        <is>
          <t>T</t>
        </is>
      </c>
      <c r="AD61" s="8" t="n">
        <v>15</v>
      </c>
    </row>
    <row r="62">
      <c r="E62" s="8" t="inlineStr">
        <is>
          <t>C</t>
        </is>
      </c>
      <c r="F62" s="8" t="n">
        <v>23</v>
      </c>
      <c r="H62" s="8" t="inlineStr">
        <is>
          <t>N</t>
        </is>
      </c>
      <c r="I62" s="8" t="n">
        <v>50</v>
      </c>
      <c r="K62" s="8" t="inlineStr">
        <is>
          <t>O</t>
        </is>
      </c>
      <c r="L62" s="8" t="n">
        <v>34</v>
      </c>
      <c r="N62" s="8" t="inlineStr">
        <is>
          <t>P</t>
        </is>
      </c>
      <c r="O62" s="8" t="n">
        <v>41</v>
      </c>
      <c r="Q62" s="8" t="inlineStr">
        <is>
          <t>Q</t>
        </is>
      </c>
      <c r="R62" s="8" t="n">
        <v>16</v>
      </c>
      <c r="T62" s="8" t="inlineStr">
        <is>
          <t>R</t>
        </is>
      </c>
      <c r="U62" s="8" t="n">
        <v>29</v>
      </c>
      <c r="W62" s="8" t="inlineStr">
        <is>
          <t>S</t>
        </is>
      </c>
      <c r="X62" s="8" t="n">
        <v>20</v>
      </c>
      <c r="Z62" s="8" t="inlineStr">
        <is>
          <t>T</t>
        </is>
      </c>
      <c r="AA62" s="8" t="n">
        <v>42</v>
      </c>
    </row>
    <row r="63">
      <c r="E63" s="8" t="inlineStr">
        <is>
          <t>N</t>
        </is>
      </c>
      <c r="F63" s="8" t="n">
        <v>50</v>
      </c>
      <c r="H63" s="8" t="inlineStr">
        <is>
          <t>O</t>
        </is>
      </c>
      <c r="I63" s="8" t="n">
        <v>45</v>
      </c>
      <c r="K63" s="8" t="inlineStr">
        <is>
          <t>P</t>
        </is>
      </c>
      <c r="L63" s="8" t="n">
        <v>42</v>
      </c>
      <c r="N63" s="8" t="inlineStr">
        <is>
          <t>Q</t>
        </is>
      </c>
      <c r="O63" s="8" t="n">
        <v>42</v>
      </c>
      <c r="Q63" s="8" t="inlineStr">
        <is>
          <t>R</t>
        </is>
      </c>
      <c r="R63" s="8" t="n">
        <v>23</v>
      </c>
      <c r="T63" s="8" t="inlineStr">
        <is>
          <t>S</t>
        </is>
      </c>
      <c r="U63" s="8" t="n">
        <v>19</v>
      </c>
      <c r="W63" s="8" t="inlineStr">
        <is>
          <t>T</t>
        </is>
      </c>
      <c r="X63" s="8" t="n">
        <v>33</v>
      </c>
    </row>
    <row r="64">
      <c r="E64" s="8" t="inlineStr">
        <is>
          <t>O</t>
        </is>
      </c>
      <c r="F64" s="8" t="n">
        <v>47</v>
      </c>
      <c r="H64" s="8" t="inlineStr">
        <is>
          <t>P</t>
        </is>
      </c>
      <c r="I64" s="8" t="n">
        <v>59</v>
      </c>
      <c r="K64" s="8" t="inlineStr">
        <is>
          <t>Q</t>
        </is>
      </c>
      <c r="L64" s="8" t="n">
        <v>44</v>
      </c>
      <c r="N64" s="8" t="inlineStr">
        <is>
          <t>R</t>
        </is>
      </c>
      <c r="O64" s="8" t="n">
        <v>50</v>
      </c>
      <c r="Q64" s="8" t="inlineStr">
        <is>
          <t>S</t>
        </is>
      </c>
      <c r="R64" s="8" t="n">
        <v>27</v>
      </c>
      <c r="T64" s="8" t="inlineStr">
        <is>
          <t>T</t>
        </is>
      </c>
      <c r="U64" s="8" t="n">
        <v>40</v>
      </c>
    </row>
    <row r="65">
      <c r="E65" s="8" t="inlineStr">
        <is>
          <t>P</t>
        </is>
      </c>
      <c r="F65" s="8" t="n">
        <v>65</v>
      </c>
      <c r="H65" s="8" t="inlineStr">
        <is>
          <t>Q</t>
        </is>
      </c>
      <c r="I65" s="8" t="n">
        <v>63</v>
      </c>
      <c r="K65" s="8" t="inlineStr">
        <is>
          <t>R</t>
        </is>
      </c>
      <c r="L65" s="8" t="n">
        <v>53</v>
      </c>
      <c r="N65" s="8" t="inlineStr">
        <is>
          <t>S</t>
        </is>
      </c>
      <c r="O65" s="8" t="n">
        <v>43</v>
      </c>
      <c r="Q65" s="8" t="inlineStr">
        <is>
          <t>T</t>
        </is>
      </c>
      <c r="R65" s="8" t="n">
        <v>47</v>
      </c>
    </row>
    <row r="66">
      <c r="E66" s="8" t="inlineStr">
        <is>
          <t>Q</t>
        </is>
      </c>
      <c r="F66" s="8" t="n">
        <v>65</v>
      </c>
      <c r="H66" s="8" t="inlineStr">
        <is>
          <t>R</t>
        </is>
      </c>
      <c r="I66" s="8" t="n">
        <v>71</v>
      </c>
      <c r="K66" s="8" t="inlineStr">
        <is>
          <t>S</t>
        </is>
      </c>
      <c r="L66" s="8" t="n">
        <v>46</v>
      </c>
      <c r="N66" s="8" t="inlineStr">
        <is>
          <t>T</t>
        </is>
      </c>
      <c r="O66" s="8" t="n">
        <v>54</v>
      </c>
    </row>
    <row r="67">
      <c r="E67" s="8" t="inlineStr">
        <is>
          <t>R</t>
        </is>
      </c>
      <c r="F67" s="8" t="n">
        <v>75</v>
      </c>
      <c r="H67" s="8" t="inlineStr">
        <is>
          <t>S</t>
        </is>
      </c>
      <c r="I67" s="8" t="n">
        <v>75</v>
      </c>
      <c r="K67" s="8" t="inlineStr">
        <is>
          <t>T</t>
        </is>
      </c>
      <c r="L67" s="8" t="n">
        <v>67</v>
      </c>
    </row>
    <row r="68">
      <c r="E68" s="8" t="inlineStr">
        <is>
          <t>S</t>
        </is>
      </c>
      <c r="F68" s="8" t="n">
        <v>68</v>
      </c>
      <c r="H68" s="8" t="inlineStr">
        <is>
          <t>T</t>
        </is>
      </c>
      <c r="I68" s="8" t="n">
        <v>64</v>
      </c>
    </row>
    <row r="69">
      <c r="E69" s="8" t="inlineStr">
        <is>
          <t>T</t>
        </is>
      </c>
      <c r="F69" s="8" t="n">
        <v>79</v>
      </c>
    </row>
    <row r="72">
      <c r="A72" s="99" t="inlineStr">
        <is>
          <t>TRUK 3</t>
        </is>
      </c>
      <c r="E72" s="100" t="inlineStr">
        <is>
          <t>RUTE TRUK 3</t>
        </is>
      </c>
      <c r="F72" s="97" t="inlineStr">
        <is>
          <t>GUDANG – J – K – L – M - GUDANG</t>
        </is>
      </c>
      <c r="N72" s="101" t="inlineStr">
        <is>
          <t>RUTE TRUK 3 BARU</t>
        </is>
      </c>
      <c r="O72" s="98" t="inlineStr">
        <is>
          <t>GUDANG - J - K - M - L - GUDANG</t>
        </is>
      </c>
      <c r="W72" s="102" t="inlineStr">
        <is>
          <t>TOTAL WAKTU</t>
        </is>
      </c>
      <c r="X72" s="98">
        <f>SUM(F79,I79,L80,O79,N5)</f>
        <v/>
      </c>
    </row>
    <row r="73"/>
    <row r="74"/>
    <row r="78">
      <c r="E78" s="87" t="inlineStr">
        <is>
          <t>JARAK DARI GUDANG</t>
        </is>
      </c>
      <c r="F78" s="137" t="n"/>
      <c r="H78" s="87" t="inlineStr">
        <is>
          <t>J</t>
        </is>
      </c>
      <c r="I78" s="137" t="n"/>
      <c r="K78" s="87" t="inlineStr">
        <is>
          <t>K</t>
        </is>
      </c>
      <c r="L78" s="137" t="n"/>
      <c r="N78" s="87" t="inlineStr">
        <is>
          <t>M</t>
        </is>
      </c>
      <c r="O78" s="137" t="n"/>
    </row>
    <row r="79">
      <c r="E79" s="44" t="inlineStr">
        <is>
          <t>J</t>
        </is>
      </c>
      <c r="F79" s="44" t="n">
        <v>42</v>
      </c>
      <c r="H79" s="44" t="inlineStr">
        <is>
          <t>K</t>
        </is>
      </c>
      <c r="I79" s="44" t="n">
        <v>18</v>
      </c>
      <c r="K79" s="8" t="inlineStr">
        <is>
          <t>L</t>
        </is>
      </c>
      <c r="L79" s="8" t="n">
        <v>7</v>
      </c>
      <c r="N79" s="44" t="inlineStr">
        <is>
          <t>L</t>
        </is>
      </c>
      <c r="O79" s="44" t="n">
        <v>11</v>
      </c>
    </row>
    <row r="80">
      <c r="E80" s="8" t="inlineStr">
        <is>
          <t>K</t>
        </is>
      </c>
      <c r="F80" s="8" t="n">
        <v>51</v>
      </c>
      <c r="H80" s="8" t="inlineStr">
        <is>
          <t>L</t>
        </is>
      </c>
      <c r="I80" s="8" t="n">
        <v>20</v>
      </c>
      <c r="K80" s="44" t="inlineStr">
        <is>
          <t>M</t>
        </is>
      </c>
      <c r="L80" s="44" t="n">
        <v>4</v>
      </c>
    </row>
    <row r="81">
      <c r="E81" s="8" t="inlineStr">
        <is>
          <t>L</t>
        </is>
      </c>
      <c r="F81" s="8" t="n">
        <v>53</v>
      </c>
      <c r="H81" s="8" t="inlineStr">
        <is>
          <t>M</t>
        </is>
      </c>
      <c r="I81" s="8" t="n">
        <v>22</v>
      </c>
    </row>
    <row r="82">
      <c r="E82" s="8" t="inlineStr">
        <is>
          <t>M</t>
        </is>
      </c>
      <c r="F82" s="8" t="n">
        <v>58</v>
      </c>
    </row>
  </sheetData>
  <mergeCells count="44">
    <mergeCell ref="T39:U39"/>
    <mergeCell ref="A54:C56"/>
    <mergeCell ref="X54:X56"/>
    <mergeCell ref="AF39:AG39"/>
    <mergeCell ref="H78:I78"/>
    <mergeCell ref="F54:K56"/>
    <mergeCell ref="E54:E56"/>
    <mergeCell ref="F35:K35"/>
    <mergeCell ref="E39:F39"/>
    <mergeCell ref="Q39:R39"/>
    <mergeCell ref="H39:I39"/>
    <mergeCell ref="H59:I59"/>
    <mergeCell ref="O72:U74"/>
    <mergeCell ref="A3:AA3"/>
    <mergeCell ref="N54:N56"/>
    <mergeCell ref="X72:X74"/>
    <mergeCell ref="T59:U59"/>
    <mergeCell ref="E72:E74"/>
    <mergeCell ref="F72:K74"/>
    <mergeCell ref="AC39:AD39"/>
    <mergeCell ref="E78:F78"/>
    <mergeCell ref="N39:O39"/>
    <mergeCell ref="E59:F59"/>
    <mergeCell ref="A72:C74"/>
    <mergeCell ref="Z39:AA39"/>
    <mergeCell ref="K59:L59"/>
    <mergeCell ref="AF59:AG59"/>
    <mergeCell ref="Q59:R59"/>
    <mergeCell ref="W59:X59"/>
    <mergeCell ref="N72:N74"/>
    <mergeCell ref="A34:C36"/>
    <mergeCell ref="N59:O59"/>
    <mergeCell ref="K39:L39"/>
    <mergeCell ref="AL39:AM39"/>
    <mergeCell ref="N78:O78"/>
    <mergeCell ref="W54:W56"/>
    <mergeCell ref="W39:X39"/>
    <mergeCell ref="O54:U56"/>
    <mergeCell ref="AC59:AD59"/>
    <mergeCell ref="O35:U35"/>
    <mergeCell ref="Z59:AA59"/>
    <mergeCell ref="W72:W74"/>
    <mergeCell ref="AI39:AJ39"/>
    <mergeCell ref="K78:L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Z46"/>
  <sheetViews>
    <sheetView zoomScale="55" zoomScaleNormal="55" workbookViewId="0">
      <selection activeCell="L22" sqref="L22"/>
    </sheetView>
  </sheetViews>
  <sheetFormatPr baseColWidth="8" defaultRowHeight="14.5"/>
  <cols>
    <col width="12.90625" customWidth="1" min="11" max="11"/>
    <col width="21.453125" customWidth="1" min="13" max="13"/>
  </cols>
  <sheetData>
    <row r="3">
      <c r="B3" s="106" t="inlineStr">
        <is>
          <t>SOLVER RUTE JARAK</t>
        </is>
      </c>
      <c r="P3" s="106" t="inlineStr">
        <is>
          <t>SOLVER RUTE WAKTU</t>
        </is>
      </c>
    </row>
    <row r="4"/>
    <row r="6" ht="29" customHeight="1">
      <c r="B6" s="112" t="inlineStr">
        <is>
          <t>RUTE TRUK 1</t>
        </is>
      </c>
      <c r="K6" s="86" t="inlineStr">
        <is>
          <t>TOTAL DISTANCE</t>
        </is>
      </c>
      <c r="L6" s="137" t="n"/>
      <c r="P6" s="108" t="inlineStr">
        <is>
          <t>RUTE TRUK 1</t>
        </is>
      </c>
      <c r="W6" s="88" t="inlineStr">
        <is>
          <t>TOTAL WAKTU (MENIT)</t>
        </is>
      </c>
      <c r="X6" s="137" t="n"/>
    </row>
    <row r="7">
      <c r="B7" s="109" t="inlineStr">
        <is>
          <t>GUDANG - D - E - F - G - H - I - U - V - W - X - Y - GUDANG</t>
        </is>
      </c>
      <c r="K7" s="87" t="n"/>
      <c r="L7" s="137" t="n"/>
      <c r="P7" s="108" t="inlineStr">
        <is>
          <t>GUDANG - D - E - F - G - H - I - U - V - W - X - Y - GUDANG</t>
        </is>
      </c>
      <c r="W7" s="8" t="n"/>
      <c r="X7" s="8" t="n"/>
    </row>
    <row r="8">
      <c r="B8" s="47" t="n"/>
      <c r="C8" s="47" t="n"/>
      <c r="D8" s="47" t="n"/>
      <c r="E8" s="47" t="n"/>
      <c r="F8" s="47" t="n"/>
      <c r="G8" s="47" t="n"/>
      <c r="H8" s="47" t="n"/>
      <c r="I8" s="47" t="n"/>
      <c r="K8" s="8" t="n">
        <v>1</v>
      </c>
      <c r="L8" s="8" t="n">
        <v>111.1</v>
      </c>
      <c r="P8" s="49" t="n"/>
      <c r="Q8" s="49" t="n"/>
      <c r="R8" s="49" t="n"/>
      <c r="S8" s="49" t="n"/>
      <c r="T8" s="49" t="n"/>
      <c r="U8" s="49" t="n"/>
      <c r="W8" s="8" t="n">
        <v>1</v>
      </c>
      <c r="X8" s="8" t="n">
        <v>263</v>
      </c>
    </row>
    <row r="9">
      <c r="B9" s="112" t="inlineStr">
        <is>
          <t>RUTE TRUK 2</t>
        </is>
      </c>
      <c r="K9" s="8" t="n">
        <v>2</v>
      </c>
      <c r="L9" s="8" t="n">
        <v>159</v>
      </c>
      <c r="P9" s="108" t="inlineStr">
        <is>
          <t>RUTE TRUK 2</t>
        </is>
      </c>
      <c r="W9" s="8" t="n">
        <v>2</v>
      </c>
      <c r="X9" s="8" t="n">
        <v>299</v>
      </c>
    </row>
    <row r="10">
      <c r="B10" s="109" t="inlineStr">
        <is>
          <t>GUDANG - A - B - C - N - O - P - Q - R - S - T - GUDANG</t>
        </is>
      </c>
      <c r="K10" s="8" t="n">
        <v>3</v>
      </c>
      <c r="L10" s="8" t="n">
        <v>67.09999999999999</v>
      </c>
      <c r="P10" s="108" t="inlineStr">
        <is>
          <t>GUDANG - A - B - C - N - O - P - Q - R - S - T - GUDANG</t>
        </is>
      </c>
      <c r="W10" s="8" t="n">
        <v>3</v>
      </c>
      <c r="X10" s="8" t="n">
        <v>136</v>
      </c>
    </row>
    <row r="11">
      <c r="B11" s="47" t="n"/>
      <c r="C11" s="47" t="n"/>
      <c r="D11" s="47" t="n"/>
      <c r="E11" s="47" t="n"/>
      <c r="F11" s="47" t="n"/>
      <c r="G11" s="47" t="n"/>
      <c r="H11" s="47" t="n"/>
      <c r="I11" s="47" t="n"/>
      <c r="P11" s="49" t="n"/>
      <c r="Q11" s="49" t="n"/>
      <c r="R11" s="49" t="n"/>
      <c r="S11" s="49" t="n"/>
      <c r="T11" s="49" t="n"/>
      <c r="U11" s="49" t="n"/>
    </row>
    <row r="12">
      <c r="B12" s="112" t="inlineStr">
        <is>
          <t>RUTE TRUK 3</t>
        </is>
      </c>
      <c r="P12" s="108" t="inlineStr">
        <is>
          <t>RUTE TRUK 3</t>
        </is>
      </c>
    </row>
    <row r="13">
      <c r="B13" s="109" t="inlineStr">
        <is>
          <t>GUDANG - J - K - L - M - GUDANG</t>
        </is>
      </c>
      <c r="P13" s="108" t="inlineStr">
        <is>
          <t>GUDANG - J - K - L - M - GUDANG</t>
        </is>
      </c>
    </row>
    <row r="14">
      <c r="B14" s="47" t="n"/>
      <c r="C14" s="47" t="n"/>
      <c r="D14" s="47" t="n"/>
      <c r="E14" s="47" t="n"/>
      <c r="F14" s="47" t="n"/>
      <c r="G14" s="47" t="n"/>
      <c r="H14" s="47" t="n"/>
      <c r="I14" s="47" t="n"/>
      <c r="P14" s="49" t="n"/>
      <c r="Q14" s="49" t="n"/>
      <c r="R14" s="49" t="n"/>
      <c r="S14" s="49" t="n"/>
      <c r="T14" s="49" t="n"/>
      <c r="U14" s="49" t="n"/>
    </row>
    <row r="17">
      <c r="M17">
        <f>L8/L22*100%</f>
        <v/>
      </c>
    </row>
    <row r="18" ht="14.5" customHeight="1">
      <c r="B18" s="107" t="inlineStr">
        <is>
          <t>URUTAN RUTE</t>
        </is>
      </c>
      <c r="P18" s="107" t="inlineStr">
        <is>
          <t>URUTAN RUTE</t>
        </is>
      </c>
    </row>
    <row r="19" ht="14.5" customHeight="1">
      <c r="I19" s="46" t="n"/>
      <c r="M19">
        <f>L22/L8/100%</f>
        <v/>
      </c>
    </row>
    <row r="21" ht="43.5" customHeight="1">
      <c r="B21" s="102" t="inlineStr">
        <is>
          <t>RUTE TRUK 1 BARU</t>
        </is>
      </c>
      <c r="C21" s="98" t="inlineStr">
        <is>
          <t>GUDANG - D - I - G - H - F - W - X - Y - U - V - GUDANG</t>
        </is>
      </c>
      <c r="K21" s="86" t="inlineStr">
        <is>
          <t>TOTAL DISTANCE</t>
        </is>
      </c>
      <c r="L21" s="137" t="n"/>
      <c r="P21" s="101" t="inlineStr">
        <is>
          <t>RUTE TRUK 1 BARU</t>
        </is>
      </c>
      <c r="Q21" s="98" t="inlineStr">
        <is>
          <t>GUDANG - D - E - I - V - F - H - G - U - Y - X - W - GUDANG</t>
        </is>
      </c>
      <c r="Y21" s="89" t="inlineStr">
        <is>
          <t>TOTAL WAKTU</t>
        </is>
      </c>
      <c r="Z21" s="137" t="n"/>
    </row>
    <row r="22">
      <c r="B22" s="101" t="inlineStr">
        <is>
          <t>RUTE TRUK 2 BARU</t>
        </is>
      </c>
      <c r="C22" s="98" t="inlineStr">
        <is>
          <t>GUDANG - A - C - B - O - N - P - S - Q - R - T - GUDANG</t>
        </is>
      </c>
      <c r="K22" s="8" t="n">
        <v>1</v>
      </c>
      <c r="L22" s="26" t="n">
        <v>78.59999999999999</v>
      </c>
      <c r="P22" s="101" t="inlineStr">
        <is>
          <t>RUTE TRUK 2 BARU</t>
        </is>
      </c>
      <c r="Q22" s="98" t="inlineStr">
        <is>
          <t>GUDANG - A - B - C - O - N - Q - R - S - P - GUDANG</t>
        </is>
      </c>
      <c r="Y22" s="8" t="n">
        <v>1</v>
      </c>
      <c r="Z22" s="26" t="n">
        <v>252</v>
      </c>
    </row>
    <row r="23">
      <c r="K23" s="8" t="n">
        <v>2</v>
      </c>
      <c r="L23" s="26" t="n">
        <v>117.2</v>
      </c>
      <c r="Y23" s="8" t="n">
        <v>2</v>
      </c>
      <c r="Z23" s="26" t="n">
        <v>246</v>
      </c>
    </row>
    <row r="24">
      <c r="K24" s="8" t="n">
        <v>3</v>
      </c>
      <c r="L24" s="26" t="n">
        <v>67.09999999999999</v>
      </c>
      <c r="Y24" s="8" t="n">
        <v>3</v>
      </c>
      <c r="Z24" s="26" t="n">
        <v>128</v>
      </c>
    </row>
    <row r="25">
      <c r="B25" s="101" t="inlineStr">
        <is>
          <t>RUTE TRUK 3 BARU</t>
        </is>
      </c>
      <c r="C25" s="98" t="inlineStr">
        <is>
          <t>GUDANG - J - K - L - M - GUDANG</t>
        </is>
      </c>
      <c r="L25" s="28" t="n"/>
      <c r="P25" s="101" t="inlineStr">
        <is>
          <t>RUTE TRUK 3 BARU</t>
        </is>
      </c>
      <c r="Q25" s="98" t="inlineStr">
        <is>
          <t>GUDANG - J - K - M - L - GUDANG</t>
        </is>
      </c>
      <c r="Z25" s="28" t="n"/>
    </row>
    <row r="26">
      <c r="L26" s="28" t="n"/>
      <c r="Z26" s="28" t="n"/>
    </row>
    <row r="27">
      <c r="L27" s="28" t="n"/>
      <c r="Z27" s="28" t="n"/>
    </row>
    <row r="28">
      <c r="L28" s="28" t="n"/>
      <c r="Z28" s="28" t="n"/>
    </row>
    <row r="33" ht="39.5" customHeight="1" thickBot="1">
      <c r="B33" s="68" t="inlineStr">
        <is>
          <t>No</t>
        </is>
      </c>
      <c r="C33" s="68" t="inlineStr">
        <is>
          <t>Truk</t>
        </is>
      </c>
      <c r="D33" s="68" t="inlineStr">
        <is>
          <t>Rute Awal</t>
        </is>
      </c>
      <c r="E33" s="68" t="inlineStr">
        <is>
          <t>Jarak Awal (km)</t>
        </is>
      </c>
      <c r="F33" s="68" t="inlineStr">
        <is>
          <t>Rute Baru (NN)</t>
        </is>
      </c>
      <c r="G33" s="68" t="inlineStr">
        <is>
          <t>Jarak Baru (km)</t>
        </is>
      </c>
      <c r="K33" s="68" t="inlineStr">
        <is>
          <t>Truk</t>
        </is>
      </c>
      <c r="L33" s="68" t="inlineStr">
        <is>
          <t>Gambar Rute Awal</t>
        </is>
      </c>
      <c r="M33" s="68" t="inlineStr">
        <is>
          <t>Truk</t>
        </is>
      </c>
      <c r="N33" s="68" t="inlineStr">
        <is>
          <t>Gambar Rute NN</t>
        </is>
      </c>
      <c r="O33" s="68" t="n"/>
    </row>
    <row r="34" ht="79" customHeight="1" thickBot="1" thickTop="1">
      <c r="B34" s="69" t="n">
        <v>1</v>
      </c>
      <c r="C34" s="70" t="inlineStr">
        <is>
          <t>Truk 1</t>
        </is>
      </c>
      <c r="D34" s="70" t="inlineStr">
        <is>
          <t>Gudang – D – E – F – G – H – I – U – V – W – X – Y – Gudang</t>
        </is>
      </c>
      <c r="E34" s="71" t="n">
        <v>111.1</v>
      </c>
      <c r="F34" s="70" t="inlineStr">
        <is>
          <t>Gudang – D – I – G – H – F – W – X – Y – U – V – Gudang</t>
        </is>
      </c>
      <c r="G34" s="72" t="n">
        <v>78.59999999999999</v>
      </c>
      <c r="K34" s="69" t="n">
        <v>1</v>
      </c>
      <c r="M34" s="69" t="n">
        <v>1</v>
      </c>
    </row>
    <row r="35" ht="78.5" customHeight="1" thickBot="1">
      <c r="B35" s="73" t="n">
        <v>2</v>
      </c>
      <c r="C35" s="74" t="inlineStr">
        <is>
          <t>Truk 2</t>
        </is>
      </c>
      <c r="D35" s="74" t="inlineStr">
        <is>
          <t>Gudang – A – B – C – N – O – P – Q – R – S – T – Gudang</t>
        </is>
      </c>
      <c r="E35" s="75" t="n">
        <v>159</v>
      </c>
      <c r="F35" s="74" t="inlineStr">
        <is>
          <t>Gudang – A – C – B – O – N – P – S – Q – R – T – Gudang</t>
        </is>
      </c>
      <c r="G35" s="76" t="n">
        <v>117.2</v>
      </c>
      <c r="K35" s="73" t="n">
        <v>2</v>
      </c>
      <c r="M35" s="73" t="n">
        <v>2</v>
      </c>
    </row>
    <row r="36" ht="52.5" customHeight="1" thickBot="1">
      <c r="B36" s="69" t="n">
        <v>3</v>
      </c>
      <c r="C36" s="70" t="inlineStr">
        <is>
          <t>Truk 3</t>
        </is>
      </c>
      <c r="D36" s="70" t="inlineStr">
        <is>
          <t>Gudang – J – K – L – M – Gudang</t>
        </is>
      </c>
      <c r="E36" s="71" t="n">
        <v>67.09999999999999</v>
      </c>
      <c r="F36" s="70" t="inlineStr">
        <is>
          <t>Gudang – J – K – L – M – Gudang</t>
        </is>
      </c>
      <c r="G36" s="72" t="n">
        <v>67.09999999999999</v>
      </c>
      <c r="K36" s="69" t="n">
        <v>3</v>
      </c>
      <c r="M36" s="69" t="n">
        <v>3</v>
      </c>
    </row>
    <row r="37" ht="16" customHeight="1" thickBot="1">
      <c r="B37" s="73" t="inlineStr">
        <is>
          <t>Total</t>
        </is>
      </c>
      <c r="C37" s="146" t="n"/>
      <c r="D37" s="147" t="n"/>
      <c r="E37" s="73" t="n">
        <v>337.2</v>
      </c>
      <c r="F37" s="77" t="n"/>
      <c r="G37" s="78" t="n">
        <v>262.9</v>
      </c>
    </row>
    <row r="41" ht="52.5" customHeight="1" thickBot="1">
      <c r="B41" s="68" t="inlineStr">
        <is>
          <t>No</t>
        </is>
      </c>
      <c r="C41" s="68" t="inlineStr">
        <is>
          <t xml:space="preserve">Rute Truk </t>
        </is>
      </c>
      <c r="D41" s="68" t="inlineStr">
        <is>
          <t>Rute Awal</t>
        </is>
      </c>
      <c r="E41" s="68" t="inlineStr">
        <is>
          <t>Total Waktu Awal (Menit)</t>
        </is>
      </c>
      <c r="F41" s="68" t="inlineStr">
        <is>
          <t>Rute Baru (NN)</t>
        </is>
      </c>
      <c r="G41" s="68" t="inlineStr">
        <is>
          <t>Total Waktu Baru (Menit)</t>
        </is>
      </c>
      <c r="K41" s="68" t="inlineStr">
        <is>
          <t>Truk</t>
        </is>
      </c>
      <c r="L41" s="68" t="inlineStr">
        <is>
          <t>Gambar Rute Awal</t>
        </is>
      </c>
      <c r="M41" s="68" t="inlineStr">
        <is>
          <t>Truk</t>
        </is>
      </c>
      <c r="N41" s="68" t="inlineStr">
        <is>
          <t>Gambar Rute NN</t>
        </is>
      </c>
    </row>
    <row r="42" ht="79" customHeight="1" thickBot="1" thickTop="1">
      <c r="B42" s="79" t="n">
        <v>1</v>
      </c>
      <c r="C42" s="70" t="inlineStr">
        <is>
          <t>Truk 1</t>
        </is>
      </c>
      <c r="D42" s="70" t="inlineStr">
        <is>
          <t>Gudang - D - E - F - G - H - I - U - V - W - X - Y - Gudang</t>
        </is>
      </c>
      <c r="E42" s="71" t="n">
        <v>263</v>
      </c>
      <c r="F42" s="70" t="inlineStr">
        <is>
          <t>Gudang - D - E - I - V - F - H - G - U - Y - X - W - Gudang</t>
        </is>
      </c>
      <c r="G42" s="72" t="n">
        <v>252</v>
      </c>
      <c r="K42" s="69" t="n">
        <v>1</v>
      </c>
      <c r="M42" s="69" t="n">
        <v>1</v>
      </c>
    </row>
    <row r="43" ht="78.5" customHeight="1" thickBot="1">
      <c r="B43" s="80" t="n">
        <v>2</v>
      </c>
      <c r="C43" s="74" t="inlineStr">
        <is>
          <t>Truk 2</t>
        </is>
      </c>
      <c r="D43" s="74" t="inlineStr">
        <is>
          <t>Gudang - A - B - C - N - O - P - Q - R - S - T - Gudang</t>
        </is>
      </c>
      <c r="E43" s="75" t="n">
        <v>299</v>
      </c>
      <c r="F43" s="74" t="inlineStr">
        <is>
          <t>Gudang - A - B - C - O - N - Q - R - S - P - Gudang</t>
        </is>
      </c>
      <c r="G43" s="76" t="n">
        <v>246</v>
      </c>
      <c r="K43" s="73" t="n">
        <v>2</v>
      </c>
      <c r="M43" s="73" t="n">
        <v>2</v>
      </c>
    </row>
    <row r="44" ht="52.5" customHeight="1" thickBot="1">
      <c r="B44" s="79" t="n">
        <v>3</v>
      </c>
      <c r="C44" s="70" t="inlineStr">
        <is>
          <t>Truk 3</t>
        </is>
      </c>
      <c r="D44" s="70" t="inlineStr">
        <is>
          <t>Gudang - J - K - L - M - Gudang</t>
        </is>
      </c>
      <c r="E44" s="71" t="n">
        <v>136</v>
      </c>
      <c r="F44" s="70" t="inlineStr">
        <is>
          <t>Gudang - J - K - M - L - Gudang</t>
        </is>
      </c>
      <c r="G44" s="72" t="n">
        <v>128</v>
      </c>
      <c r="K44" s="69" t="n">
        <v>3</v>
      </c>
      <c r="M44" s="69" t="n">
        <v>3</v>
      </c>
    </row>
    <row r="45" ht="26.5" customHeight="1" thickBot="1">
      <c r="B45" s="80" t="n"/>
      <c r="C45" s="80" t="inlineStr">
        <is>
          <t>Total</t>
        </is>
      </c>
      <c r="D45" s="74" t="n"/>
      <c r="E45" s="80" t="inlineStr">
        <is>
          <t>698 Menit</t>
        </is>
      </c>
      <c r="F45" s="74" t="n"/>
      <c r="G45" s="81" t="inlineStr">
        <is>
          <t>626 Menit</t>
        </is>
      </c>
    </row>
    <row r="46">
      <c r="B46" s="82" t="inlineStr">
        <is>
          <t xml:space="preserve"> Tambahin waktu bongkar muat</t>
        </is>
      </c>
    </row>
  </sheetData>
  <mergeCells count="32">
    <mergeCell ref="P6:U6"/>
    <mergeCell ref="Q22:W24"/>
    <mergeCell ref="B7:I7"/>
    <mergeCell ref="W6:X6"/>
    <mergeCell ref="K21:L21"/>
    <mergeCell ref="B12:I12"/>
    <mergeCell ref="Y21:Z21"/>
    <mergeCell ref="P7:U7"/>
    <mergeCell ref="P3:T4"/>
    <mergeCell ref="B25:B27"/>
    <mergeCell ref="P13:U13"/>
    <mergeCell ref="Q21:W21"/>
    <mergeCell ref="P18:T19"/>
    <mergeCell ref="Q25:W27"/>
    <mergeCell ref="P12:U12"/>
    <mergeCell ref="B22:B24"/>
    <mergeCell ref="B13:I13"/>
    <mergeCell ref="B10:I10"/>
    <mergeCell ref="P25:P27"/>
    <mergeCell ref="P22:P24"/>
    <mergeCell ref="B18:F19"/>
    <mergeCell ref="B9:I9"/>
    <mergeCell ref="B3:F4"/>
    <mergeCell ref="K7:L7"/>
    <mergeCell ref="P10:U10"/>
    <mergeCell ref="B6:I6"/>
    <mergeCell ref="C21:I21"/>
    <mergeCell ref="C37:D37"/>
    <mergeCell ref="C25:I27"/>
    <mergeCell ref="P9:U9"/>
    <mergeCell ref="K6:L6"/>
    <mergeCell ref="C22:I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7"/>
  <sheetViews>
    <sheetView topLeftCell="G1" zoomScale="64" zoomScaleNormal="38" workbookViewId="0">
      <selection activeCell="BH28" sqref="BF26:BI30"/>
    </sheetView>
  </sheetViews>
  <sheetFormatPr baseColWidth="8" defaultRowHeight="14.5"/>
  <cols>
    <col width="33.08984375" customWidth="1" min="7" max="7"/>
    <col width="18.08984375" customWidth="1" min="8" max="8"/>
    <col width="18.36328125" customWidth="1" min="9" max="9"/>
    <col width="13.08984375" customWidth="1" min="12" max="12"/>
    <col width="19.08984375" customWidth="1" min="16" max="16"/>
    <col width="13.36328125" bestFit="1" customWidth="1" min="26" max="26"/>
    <col width="13.36328125" bestFit="1" customWidth="1" min="28" max="28"/>
    <col width="8.7265625" customWidth="1" min="32" max="32"/>
    <col width="13.36328125" bestFit="1" customWidth="1" min="35" max="35"/>
    <col width="16.81640625" customWidth="1" min="58" max="58"/>
    <col width="31.453125" customWidth="1" min="59" max="59"/>
    <col width="13.453125" bestFit="1" customWidth="1" min="60" max="61"/>
    <col width="18.08984375" bestFit="1" customWidth="1" min="63" max="63"/>
  </cols>
  <sheetData>
    <row r="1" ht="14.5" customHeight="1">
      <c r="A1" s="115" t="inlineStr">
        <is>
          <t>BBM</t>
        </is>
      </c>
      <c r="G1" t="inlineStr">
        <is>
          <t>KONSUMSI BBM</t>
        </is>
      </c>
      <c r="H1" t="inlineStr">
        <is>
          <t>1 LITER</t>
        </is>
      </c>
      <c r="I1" t="inlineStr">
        <is>
          <t>5 KM</t>
        </is>
      </c>
      <c r="P1" s="118" t="inlineStr">
        <is>
          <t>BIAYA TENAGA KERJA</t>
        </is>
      </c>
      <c r="AF1" s="55" t="n"/>
      <c r="BC1" s="55" t="n"/>
      <c r="BF1" t="inlineStr">
        <is>
          <t>RUTE AWAL (PENAMBAHAN WAKTU BONGKAR MUAT)</t>
        </is>
      </c>
      <c r="BM1" t="inlineStr">
        <is>
          <t>25000/JAM</t>
        </is>
      </c>
      <c r="BN1">
        <f>25000/60</f>
        <v/>
      </c>
      <c r="BO1" t="inlineStr">
        <is>
          <t>per menit</t>
        </is>
      </c>
    </row>
    <row r="2" ht="14.5" customHeight="1">
      <c r="G2" t="inlineStr">
        <is>
          <t>JENIS BBM</t>
        </is>
      </c>
      <c r="H2" t="inlineStr">
        <is>
          <t>SOLAR</t>
        </is>
      </c>
      <c r="AF2" s="55" t="n"/>
      <c r="AH2" s="118" t="inlineStr">
        <is>
          <t>TOTAL</t>
        </is>
      </c>
      <c r="BC2" s="55" t="n"/>
    </row>
    <row r="3" ht="14.5" customHeight="1">
      <c r="G3" t="inlineStr">
        <is>
          <t>HARGA SOLAR</t>
        </is>
      </c>
      <c r="H3" s="50" t="n">
        <v>6800</v>
      </c>
      <c r="I3" t="inlineStr">
        <is>
          <t>PER LITER</t>
        </is>
      </c>
      <c r="U3" s="53" t="inlineStr">
        <is>
          <t>ASUMSI</t>
        </is>
      </c>
      <c r="V3" s="53" t="n">
        <v>25000</v>
      </c>
      <c r="W3" s="53" t="inlineStr">
        <is>
          <t>PER JAM</t>
        </is>
      </c>
      <c r="AF3" s="55" t="n"/>
      <c r="BC3" s="55" t="n"/>
      <c r="BF3" s="58" t="inlineStr">
        <is>
          <t>Kendaraan</t>
        </is>
      </c>
      <c r="BG3" s="58" t="inlineStr">
        <is>
          <t>Urutan Rute</t>
        </is>
      </c>
      <c r="BH3" s="58" t="inlineStr">
        <is>
          <t xml:space="preserve">Waktu Awal </t>
        </is>
      </c>
      <c r="BI3" s="58" t="inlineStr">
        <is>
          <t>Total Bongkar Muat</t>
        </is>
      </c>
      <c r="BJ3" s="58" t="inlineStr">
        <is>
          <t>Hasil</t>
        </is>
      </c>
      <c r="BK3" s="26" t="inlineStr">
        <is>
          <t>Biaya Tenaga Kerja</t>
        </is>
      </c>
    </row>
    <row r="4">
      <c r="G4" t="inlineStr">
        <is>
          <t>KECEPATAN RATA-RATA</t>
        </is>
      </c>
      <c r="H4" t="n">
        <v>40</v>
      </c>
      <c r="I4" t="inlineStr">
        <is>
          <t>KM/JAM</t>
        </is>
      </c>
      <c r="AF4" s="55" t="n"/>
      <c r="BC4" s="55" t="n"/>
      <c r="BF4" s="131" t="n">
        <v>1</v>
      </c>
      <c r="BG4" s="148" t="inlineStr">
        <is>
          <t>Gudang - D - E - I - V - F - H - G - U - Y - X - W - Gudang</t>
        </is>
      </c>
      <c r="BH4" s="132" t="n">
        <v>263</v>
      </c>
      <c r="BI4" s="132" t="n">
        <v>350</v>
      </c>
      <c r="BJ4" s="132" t="n">
        <v>613</v>
      </c>
      <c r="BK4" s="149">
        <f>BJ4*BN1</f>
        <v/>
      </c>
    </row>
    <row r="5" ht="15.5" customHeight="1">
      <c r="AF5" s="55" t="n"/>
      <c r="BC5" s="55" t="n"/>
      <c r="BF5" s="134" t="n"/>
      <c r="BG5" s="134" t="n"/>
      <c r="BH5" s="134" t="n"/>
      <c r="BI5" s="134" t="n"/>
      <c r="BJ5" s="134" t="n"/>
      <c r="BK5" s="134" t="n"/>
    </row>
    <row r="6">
      <c r="AF6" s="55" t="n"/>
      <c r="BC6" s="55" t="n"/>
      <c r="BF6" s="135" t="n"/>
      <c r="BG6" s="135" t="n"/>
      <c r="BH6" s="135" t="n"/>
      <c r="BI6" s="135" t="n"/>
      <c r="BJ6" s="135" t="n"/>
      <c r="BK6" s="135" t="n"/>
    </row>
    <row r="7" ht="31" customHeight="1">
      <c r="A7" s="106" t="inlineStr">
        <is>
          <t>SOLVER RUTE JARAK</t>
        </is>
      </c>
      <c r="AF7" s="55" t="n"/>
      <c r="BC7" s="55" t="n"/>
      <c r="BF7" s="133" t="n">
        <v>2</v>
      </c>
      <c r="BG7" s="62" t="inlineStr">
        <is>
          <t>Gudang - A - B - C - O - N - Q - R - S - P – Gudang</t>
        </is>
      </c>
      <c r="BH7" s="63" t="n">
        <v>299</v>
      </c>
      <c r="BI7" s="63" t="n">
        <v>250</v>
      </c>
      <c r="BJ7" s="63" t="n">
        <v>549</v>
      </c>
      <c r="BK7" s="150">
        <f>BN1*BJ7</f>
        <v/>
      </c>
    </row>
    <row r="8" ht="15.5" customHeight="1">
      <c r="AF8" s="55" t="n"/>
      <c r="BC8" s="55" t="n"/>
      <c r="BF8" s="131" t="n">
        <v>3</v>
      </c>
      <c r="BG8" s="64" t="inlineStr">
        <is>
          <t>Gudang - J - K - M - L - Gudang</t>
        </is>
      </c>
      <c r="BH8" s="132" t="n">
        <v>136</v>
      </c>
      <c r="BI8" s="132" t="n">
        <v>150</v>
      </c>
      <c r="BJ8" s="132" t="n">
        <v>286</v>
      </c>
      <c r="BK8" s="150">
        <f>BN1*BJ8</f>
        <v/>
      </c>
    </row>
    <row r="9" ht="15" customHeight="1">
      <c r="Q9" s="50" t="n"/>
      <c r="AF9" s="55" t="n"/>
      <c r="AH9" s="151">
        <f>SUM(L15,Z15)</f>
        <v/>
      </c>
      <c r="BC9" s="55" t="n"/>
      <c r="BF9" s="133" t="inlineStr">
        <is>
          <t>TOTAL</t>
        </is>
      </c>
      <c r="BG9" s="137" t="n"/>
      <c r="BH9" s="133" t="inlineStr">
        <is>
          <t>698 Menit</t>
        </is>
      </c>
      <c r="BI9" s="133" t="n">
        <v>750</v>
      </c>
      <c r="BJ9" s="133" t="n">
        <v>1448</v>
      </c>
      <c r="BK9" s="152">
        <f>SUM(BK4:BK8)</f>
        <v/>
      </c>
    </row>
    <row r="10" ht="30.5" customHeight="1">
      <c r="A10" s="112" t="inlineStr">
        <is>
          <t>RUTE TRUK 1</t>
        </is>
      </c>
      <c r="J10" s="86" t="inlineStr">
        <is>
          <t>TOTAL DISTANCE</t>
        </is>
      </c>
      <c r="K10" s="137" t="n"/>
      <c r="L10" s="89" t="inlineStr">
        <is>
          <t>HARGA BBM</t>
        </is>
      </c>
      <c r="P10" s="108" t="inlineStr">
        <is>
          <t>RUTE TRUK 1</t>
        </is>
      </c>
      <c r="W10" s="86" t="inlineStr">
        <is>
          <t>TOTAL WAKTU (MENIT)</t>
        </is>
      </c>
      <c r="X10" s="137" t="n"/>
      <c r="Y10" s="86" t="inlineStr">
        <is>
          <t>WAKTU JAM</t>
        </is>
      </c>
      <c r="Z10" s="89" t="inlineStr">
        <is>
          <t>UPAH</t>
        </is>
      </c>
      <c r="AF10" s="55" t="n"/>
      <c r="BC10" s="55" t="n"/>
    </row>
    <row r="11">
      <c r="A11" s="109" t="inlineStr">
        <is>
          <t>GUDANG - D - E - F - G - H - I - U - V - W - X - Y - GUDANG</t>
        </is>
      </c>
      <c r="J11" s="89" t="n"/>
      <c r="K11" s="137" t="n"/>
      <c r="L11" s="26" t="n"/>
      <c r="P11" s="108" t="inlineStr">
        <is>
          <t>GUDANG - D - E - F - G - H - I - U - V - W - X - Y - GUDANG</t>
        </is>
      </c>
      <c r="W11" s="26" t="n"/>
      <c r="X11" s="26" t="n"/>
      <c r="Y11" s="26" t="n"/>
      <c r="Z11" s="26" t="n"/>
      <c r="AF11" s="55" t="n"/>
      <c r="BC11" s="55" t="n"/>
      <c r="BF11" s="8" t="inlineStr">
        <is>
          <t>RUTE OPTIMASI DENGAN PENAMBAHAN BONGKAR MUAT</t>
        </is>
      </c>
      <c r="BG11" s="8" t="n"/>
      <c r="BH11" s="8" t="n"/>
      <c r="BI11" s="8" t="n"/>
      <c r="BJ11" s="8" t="n"/>
      <c r="BK11" s="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J12" s="26" t="n">
        <v>1</v>
      </c>
      <c r="K12" s="26" t="n">
        <v>111.1</v>
      </c>
      <c r="L12" s="150">
        <f>K12/5*$H$3</f>
        <v/>
      </c>
      <c r="P12" s="49" t="n"/>
      <c r="Q12" s="49" t="n"/>
      <c r="R12" s="49" t="n"/>
      <c r="S12" s="49" t="n"/>
      <c r="T12" s="49" t="n"/>
      <c r="U12" s="49" t="n"/>
      <c r="W12" s="26" t="n">
        <v>1</v>
      </c>
      <c r="X12" s="26" t="n">
        <v>263</v>
      </c>
      <c r="Y12" s="26">
        <f>X12/60</f>
        <v/>
      </c>
      <c r="Z12" s="150">
        <f>Y12*$V$3</f>
        <v/>
      </c>
      <c r="AF12" s="55" t="n"/>
      <c r="BC12" s="55" t="n"/>
      <c r="BF12" s="8" t="n"/>
      <c r="BG12" s="8" t="n"/>
      <c r="BH12" s="8" t="n"/>
      <c r="BI12" s="8" t="n"/>
      <c r="BJ12" s="8" t="n"/>
      <c r="BK12" s="126" t="inlineStr">
        <is>
          <t>Biaya Tenaga Kerja</t>
        </is>
      </c>
    </row>
    <row r="13" ht="45" customHeight="1">
      <c r="A13" s="112" t="inlineStr">
        <is>
          <t>RUTE TRUK 2</t>
        </is>
      </c>
      <c r="J13" s="26" t="n">
        <v>2</v>
      </c>
      <c r="K13" s="26" t="n">
        <v>159</v>
      </c>
      <c r="L13" s="150">
        <f>K13/5*$H$3</f>
        <v/>
      </c>
      <c r="P13" s="108" t="inlineStr">
        <is>
          <t>RUTE TRUK 2</t>
        </is>
      </c>
      <c r="W13" s="26" t="n">
        <v>2</v>
      </c>
      <c r="X13" s="26" t="n">
        <v>299</v>
      </c>
      <c r="Y13" s="26">
        <f>X13/60</f>
        <v/>
      </c>
      <c r="Z13" s="150">
        <f>Y13*$V$3</f>
        <v/>
      </c>
      <c r="AF13" s="55" t="n"/>
      <c r="BC13" s="55" t="n"/>
      <c r="BF13" s="58" t="inlineStr">
        <is>
          <t>Kendaraan</t>
        </is>
      </c>
      <c r="BG13" s="58" t="inlineStr">
        <is>
          <t>Urutan Rute</t>
        </is>
      </c>
      <c r="BH13" s="58" t="inlineStr">
        <is>
          <t>Waktu Optimasi</t>
        </is>
      </c>
      <c r="BI13" s="58" t="inlineStr">
        <is>
          <t>Total Bongkar Muat</t>
        </is>
      </c>
      <c r="BJ13" s="58" t="inlineStr">
        <is>
          <t>Hasil</t>
        </is>
      </c>
      <c r="BK13" s="135" t="n"/>
    </row>
    <row r="14">
      <c r="A14" s="109" t="inlineStr">
        <is>
          <t>GUDANG - A - B - C - N - O - P - Q - R - S - T - GUDANG</t>
        </is>
      </c>
      <c r="J14" s="26" t="n">
        <v>3</v>
      </c>
      <c r="K14" s="26" t="n">
        <v>67.09999999999999</v>
      </c>
      <c r="L14" s="150">
        <f>K14/5*$H$3</f>
        <v/>
      </c>
      <c r="P14" s="108" t="inlineStr">
        <is>
          <t>GUDANG - A - B - C - N - O - P - Q - R - S - T - GUDANG</t>
        </is>
      </c>
      <c r="W14" s="26" t="n">
        <v>3</v>
      </c>
      <c r="X14" s="26" t="n">
        <v>136</v>
      </c>
      <c r="Y14" s="26">
        <f>X14/60</f>
        <v/>
      </c>
      <c r="Z14" s="150">
        <f>Y14*$V$3</f>
        <v/>
      </c>
      <c r="AF14" s="55" t="n"/>
      <c r="BC14" s="55" t="n"/>
      <c r="BF14" s="131" t="n">
        <v>1</v>
      </c>
      <c r="BG14" s="148" t="inlineStr">
        <is>
          <t>Gudang - D - E - I - V - F - H - G - U - Y - X - W - Gudang</t>
        </is>
      </c>
      <c r="BH14" s="132" t="n">
        <v>252</v>
      </c>
      <c r="BI14" s="132" t="n">
        <v>350</v>
      </c>
      <c r="BJ14" s="132" t="n">
        <v>602</v>
      </c>
      <c r="BK14" s="153">
        <f>BJ14*BN1</f>
        <v/>
      </c>
    </row>
    <row r="15" ht="15.5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J15" s="89" t="inlineStr">
        <is>
          <t>TOTAL</t>
        </is>
      </c>
      <c r="K15" s="137" t="n"/>
      <c r="L15" s="150">
        <f>SUM(L12:L14)</f>
        <v/>
      </c>
      <c r="P15" s="49" t="n"/>
      <c r="Q15" s="49" t="n"/>
      <c r="R15" s="49" t="n"/>
      <c r="S15" s="49" t="n"/>
      <c r="T15" s="49" t="n"/>
      <c r="U15" s="49" t="n"/>
      <c r="W15" s="89" t="inlineStr">
        <is>
          <t>TOTAL</t>
        </is>
      </c>
      <c r="X15" s="136" t="n"/>
      <c r="Y15" s="137" t="n"/>
      <c r="Z15" s="150">
        <f>SUM(Z12:Z14)</f>
        <v/>
      </c>
      <c r="AF15" s="55" t="n"/>
      <c r="BC15" s="55" t="n"/>
      <c r="BF15" s="134" t="n"/>
      <c r="BG15" s="134" t="n"/>
      <c r="BH15" s="134" t="n"/>
      <c r="BI15" s="134" t="n"/>
      <c r="BJ15" s="134" t="n"/>
      <c r="BK15" s="134" t="n"/>
    </row>
    <row r="16">
      <c r="A16" s="112" t="inlineStr">
        <is>
          <t>RUTE TRUK 3</t>
        </is>
      </c>
      <c r="P16" s="108" t="inlineStr">
        <is>
          <t>RUTE TRUK 3</t>
        </is>
      </c>
      <c r="AF16" s="55" t="n"/>
      <c r="BC16" s="55" t="n"/>
      <c r="BF16" s="135" t="n"/>
      <c r="BG16" s="135" t="n"/>
      <c r="BH16" s="135" t="n"/>
      <c r="BI16" s="135" t="n"/>
      <c r="BJ16" s="135" t="n"/>
      <c r="BK16" s="135" t="n"/>
    </row>
    <row r="17" ht="31" customHeight="1">
      <c r="A17" s="109" t="inlineStr">
        <is>
          <t>GUDANG - J - K - L - M - GUDANG</t>
        </is>
      </c>
      <c r="P17" s="108" t="inlineStr">
        <is>
          <t>GUDANG - J - K - L - M - GUDANG</t>
        </is>
      </c>
      <c r="AF17" s="55" t="n"/>
      <c r="BC17" s="55" t="n"/>
      <c r="BF17" s="133" t="n">
        <v>2</v>
      </c>
      <c r="BG17" s="62" t="inlineStr">
        <is>
          <t>Gudang - A - B - C - O - N - Q - R - S - P – Gudang</t>
        </is>
      </c>
      <c r="BH17" s="63" t="n">
        <v>246</v>
      </c>
      <c r="BI17" s="63" t="n">
        <v>250</v>
      </c>
      <c r="BJ17" s="63" t="n">
        <v>496</v>
      </c>
      <c r="BK17" s="154">
        <f>BJ17*BN1</f>
        <v/>
      </c>
    </row>
    <row r="18" ht="15.5" customHeight="1">
      <c r="A18" s="47" t="n"/>
      <c r="B18" s="47" t="n"/>
      <c r="C18" s="47" t="n"/>
      <c r="D18" s="47" t="n"/>
      <c r="E18" s="47" t="n"/>
      <c r="F18" s="47" t="n"/>
      <c r="G18" s="47" t="n"/>
      <c r="H18" s="47" t="n"/>
      <c r="P18" s="49" t="n"/>
      <c r="Q18" s="49" t="n"/>
      <c r="R18" s="49" t="n"/>
      <c r="S18" s="49" t="n"/>
      <c r="T18" s="49" t="n"/>
      <c r="U18" s="49" t="n"/>
      <c r="AF18" s="55" t="n"/>
      <c r="BC18" s="55" t="n"/>
      <c r="BF18" s="131" t="n">
        <v>3</v>
      </c>
      <c r="BG18" s="64" t="inlineStr">
        <is>
          <t>Gudang - J - K - M - L - Gudang</t>
        </is>
      </c>
      <c r="BH18" s="132" t="n">
        <v>128</v>
      </c>
      <c r="BI18" s="132" t="n">
        <v>150</v>
      </c>
      <c r="BJ18" s="132" t="n">
        <v>278</v>
      </c>
      <c r="BK18" s="154">
        <f>BJ18*BN1</f>
        <v/>
      </c>
    </row>
    <row r="19" ht="15" customHeight="1">
      <c r="AF19" s="55" t="n"/>
      <c r="BC19" s="55" t="n"/>
      <c r="BF19" s="133" t="inlineStr">
        <is>
          <t>TOTAL</t>
        </is>
      </c>
      <c r="BG19" s="137" t="n"/>
      <c r="BH19" s="133" t="n">
        <v>626</v>
      </c>
      <c r="BI19" s="133" t="n">
        <v>750</v>
      </c>
      <c r="BJ19" s="133" t="n">
        <v>1376</v>
      </c>
      <c r="BK19" s="154">
        <f>SUM(BK14:BK18)</f>
        <v/>
      </c>
    </row>
    <row r="20">
      <c r="AF20" s="55" t="n"/>
      <c r="BC20" s="55" t="n"/>
    </row>
    <row r="21">
      <c r="AF21" s="55" t="n"/>
      <c r="BC21" s="55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</row>
    <row r="23">
      <c r="AF23" s="55" t="n"/>
      <c r="BC23" s="55" t="n"/>
    </row>
    <row r="24">
      <c r="AF24" s="55" t="n"/>
      <c r="AI24" s="118" t="inlineStr">
        <is>
          <t>TOTAL</t>
        </is>
      </c>
      <c r="BC24" s="55" t="n"/>
    </row>
    <row r="25" ht="14.5" customHeight="1">
      <c r="A25" s="107" t="inlineStr">
        <is>
          <t>URUTAN RUTE</t>
        </is>
      </c>
      <c r="AF25" s="55" t="n"/>
      <c r="BC25" s="55" t="n"/>
    </row>
    <row r="26" ht="14.5" customHeight="1">
      <c r="H26" s="46" t="n"/>
      <c r="AF26" s="55" t="n"/>
      <c r="BC26" s="55" t="n"/>
      <c r="BF26" s="122" t="inlineStr">
        <is>
          <t>REKAP PERHITUNGAN</t>
        </is>
      </c>
      <c r="BG26" s="136" t="n"/>
      <c r="BH26" s="137" t="n"/>
      <c r="BI26" s="8" t="n"/>
    </row>
    <row r="27">
      <c r="P27" s="107" t="inlineStr">
        <is>
          <t>URUTAN RUTE</t>
        </is>
      </c>
      <c r="AF27" s="55" t="n"/>
      <c r="BC27" s="55" t="n"/>
      <c r="BF27" s="8" t="n"/>
      <c r="BG27" s="8" t="inlineStr">
        <is>
          <t>SEBELUM OPTIMASI</t>
        </is>
      </c>
      <c r="BH27" s="8" t="inlineStr">
        <is>
          <t>SESUDAH OPTIMASI (WAKTU BONGKAR MUAT)</t>
        </is>
      </c>
      <c r="BI27" s="8" t="inlineStr">
        <is>
          <t>SELISIH</t>
        </is>
      </c>
    </row>
    <row r="28" ht="43.5" customHeight="1">
      <c r="A28" s="102" t="inlineStr">
        <is>
          <t>RUTE TRUK 1 BARU</t>
        </is>
      </c>
      <c r="B28" s="98" t="inlineStr">
        <is>
          <t>GUDANG - D - I - G - H - F - W - X - Y - U - V - GUDANG</t>
        </is>
      </c>
      <c r="J28" s="86" t="inlineStr">
        <is>
          <t>TOTAL DISTANCE</t>
        </is>
      </c>
      <c r="K28" s="137" t="n"/>
      <c r="L28" s="89" t="inlineStr">
        <is>
          <t>HARGA BBM</t>
        </is>
      </c>
      <c r="AF28" s="55" t="n"/>
      <c r="BC28" s="55" t="n"/>
      <c r="BF28" s="8" t="inlineStr">
        <is>
          <t>BIAYA BBM</t>
        </is>
      </c>
      <c r="BG28" s="154">
        <f>L15</f>
        <v/>
      </c>
      <c r="BH28" s="154">
        <f>L32</f>
        <v/>
      </c>
      <c r="BI28" s="154">
        <f>BG28-BH28</f>
        <v/>
      </c>
    </row>
    <row r="29" ht="14.5" customHeight="1">
      <c r="A29" s="101" t="inlineStr">
        <is>
          <t>RUTE TRUK 2 BARU</t>
        </is>
      </c>
      <c r="B29" s="98" t="inlineStr">
        <is>
          <t>GUDANG - A - C - B - O - N - P - S - Q - R - T - GUDANG</t>
        </is>
      </c>
      <c r="J29" s="89" t="n">
        <v>1</v>
      </c>
      <c r="K29" s="89" t="n">
        <v>78.59999999999999</v>
      </c>
      <c r="L29" s="149">
        <f>K29/5*$H$3</f>
        <v/>
      </c>
      <c r="AF29" s="55" t="n"/>
      <c r="BC29" s="55" t="n"/>
      <c r="BF29" s="8" t="inlineStr">
        <is>
          <t>TENAGA KERJA</t>
        </is>
      </c>
      <c r="BG29" s="154">
        <f>BK9</f>
        <v/>
      </c>
      <c r="BH29" s="154">
        <f>BK19</f>
        <v/>
      </c>
      <c r="BI29" s="154">
        <f>BG29-BH29</f>
        <v/>
      </c>
    </row>
    <row r="30" ht="32" customHeight="1">
      <c r="J30" s="89" t="n">
        <v>2</v>
      </c>
      <c r="K30" s="89" t="n">
        <v>117.2</v>
      </c>
      <c r="L30" s="149">
        <f>K30/5*$H$3</f>
        <v/>
      </c>
      <c r="P30" s="101" t="inlineStr">
        <is>
          <t>RUTE TRUK 1 BARU</t>
        </is>
      </c>
      <c r="Q30" s="98" t="inlineStr">
        <is>
          <t>GUDANG - D - E - I - V - F - H - G - U - Y - X - W - GUDANG</t>
        </is>
      </c>
      <c r="Y30" s="86" t="inlineStr">
        <is>
          <t>TOTAL WAKTU (MENIT)</t>
        </is>
      </c>
      <c r="Z30" s="137" t="n"/>
      <c r="AA30" s="86" t="inlineStr">
        <is>
          <t>WAKTU (JAM)</t>
        </is>
      </c>
      <c r="AB30" s="89" t="inlineStr">
        <is>
          <t>UPAH</t>
        </is>
      </c>
      <c r="AF30" s="55" t="n"/>
      <c r="BC30" s="55" t="n"/>
      <c r="BF30" s="57" t="inlineStr">
        <is>
          <t>TOTAL BIAYA</t>
        </is>
      </c>
      <c r="BG30" s="155">
        <f>SUM(BG28:BG29)</f>
        <v/>
      </c>
      <c r="BH30" s="155">
        <f>SUM(BH28:BH29)</f>
        <v/>
      </c>
      <c r="BI30" s="154">
        <f>BG30-BH30</f>
        <v/>
      </c>
    </row>
    <row r="31" ht="14.5" customHeight="1">
      <c r="J31" s="89" t="n">
        <v>3</v>
      </c>
      <c r="K31" s="89" t="n">
        <v>67.09999999999999</v>
      </c>
      <c r="L31" s="149">
        <f>K31/5*$H$3</f>
        <v/>
      </c>
      <c r="P31" s="101" t="inlineStr">
        <is>
          <t>RUTE TRUK 2 BARU</t>
        </is>
      </c>
      <c r="Q31" s="98" t="inlineStr">
        <is>
          <t>GUDANG - A - B - C - O - N - Q - R - S - P - GUDANG</t>
        </is>
      </c>
      <c r="Y31" s="89" t="n">
        <v>1</v>
      </c>
      <c r="Z31" s="89" t="n">
        <v>252</v>
      </c>
      <c r="AA31" s="89">
        <f>Z31/60</f>
        <v/>
      </c>
      <c r="AB31" s="149">
        <f>AA31*$V$3</f>
        <v/>
      </c>
      <c r="AF31" s="55" t="n"/>
      <c r="BC31" s="55" t="n"/>
    </row>
    <row r="32" ht="14.5" customHeight="1">
      <c r="A32" s="101" t="inlineStr">
        <is>
          <t>RUTE TRUK 3 BARU</t>
        </is>
      </c>
      <c r="B32" s="98" t="inlineStr">
        <is>
          <t>GUDANG - J - K - L - M - GUDANG</t>
        </is>
      </c>
      <c r="J32" s="89" t="inlineStr">
        <is>
          <t xml:space="preserve">TOTAL  </t>
        </is>
      </c>
      <c r="K32" s="137" t="n"/>
      <c r="L32" s="149">
        <f>SUM(L29:L31)</f>
        <v/>
      </c>
      <c r="Y32" s="89" t="n">
        <v>2</v>
      </c>
      <c r="Z32" s="89" t="n">
        <v>246</v>
      </c>
      <c r="AA32" s="89">
        <f>Z32/60</f>
        <v/>
      </c>
      <c r="AB32" s="149">
        <f>AA32*$V$3</f>
        <v/>
      </c>
      <c r="AF32" s="55" t="n"/>
      <c r="AI32" s="156">
        <f>SUM(L32,AB34)</f>
        <v/>
      </c>
      <c r="BC32" s="55" t="n"/>
    </row>
    <row r="33" ht="14.5" customHeight="1">
      <c r="K33" s="28" t="n"/>
      <c r="Y33" s="89" t="n">
        <v>3</v>
      </c>
      <c r="Z33" s="89" t="n">
        <v>128</v>
      </c>
      <c r="AA33" s="89">
        <f>Z33/60</f>
        <v/>
      </c>
      <c r="AB33" s="149">
        <f>AA33*$V$3</f>
        <v/>
      </c>
      <c r="AF33" s="55" t="n"/>
      <c r="BC33" s="55" t="n"/>
    </row>
    <row r="34">
      <c r="K34" s="28" t="n"/>
      <c r="P34" s="101" t="inlineStr">
        <is>
          <t>RUTE TRUK 3 BARU</t>
        </is>
      </c>
      <c r="Q34" s="98" t="inlineStr">
        <is>
          <t>GUDANG - J - K - M - L - GUDANG</t>
        </is>
      </c>
      <c r="Y34" s="89" t="inlineStr">
        <is>
          <t xml:space="preserve">TOTAL  </t>
        </is>
      </c>
      <c r="Z34" s="136" t="n"/>
      <c r="AA34" s="137" t="n"/>
      <c r="AB34" s="149">
        <f>SUM(AB31:AB33)</f>
        <v/>
      </c>
      <c r="AF34" s="55" t="n"/>
      <c r="BC34" s="55" t="n"/>
    </row>
    <row r="35">
      <c r="K35" s="28" t="n"/>
      <c r="Z35" s="28" t="n"/>
      <c r="AF35" s="55" t="n"/>
      <c r="BC35" s="55" t="n"/>
    </row>
    <row r="36">
      <c r="Z36" s="28" t="n"/>
      <c r="AF36" s="55" t="n"/>
      <c r="BC36" s="55" t="n"/>
    </row>
    <row r="37">
      <c r="AF37" s="55" t="n"/>
      <c r="BC37" s="55" t="n"/>
    </row>
    <row r="38">
      <c r="AF38" s="55" t="n"/>
      <c r="BC38" s="55" t="n"/>
    </row>
    <row r="39">
      <c r="AF39" s="55" t="n"/>
      <c r="BC39" s="55" t="n"/>
    </row>
    <row r="40">
      <c r="AF40" s="55" t="n"/>
      <c r="BC40" s="55" t="n"/>
    </row>
    <row r="41">
      <c r="AF41" s="55" t="n"/>
      <c r="BC41" s="55" t="n"/>
    </row>
    <row r="42" ht="14.5" customHeight="1">
      <c r="A42" s="55" t="n"/>
      <c r="B42" s="56" t="n"/>
      <c r="C42" s="56" t="n"/>
      <c r="D42" s="56" t="n"/>
      <c r="E42" s="56" t="n"/>
      <c r="F42" s="56" t="n"/>
      <c r="G42" s="56" t="n"/>
      <c r="H42" s="56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</row>
    <row r="43" ht="14.5" customHeight="1">
      <c r="B43" s="54" t="n"/>
      <c r="C43" s="54" t="n"/>
      <c r="D43" s="54" t="n"/>
      <c r="E43" s="54" t="n"/>
      <c r="F43" s="54" t="n"/>
      <c r="G43" s="54" t="n"/>
      <c r="H43" s="54" t="n"/>
    </row>
    <row r="44" ht="14.5" customHeight="1">
      <c r="B44" s="54" t="n"/>
      <c r="C44" s="54" t="n"/>
      <c r="D44" s="54" t="n"/>
      <c r="E44" s="54" t="n"/>
      <c r="F44" s="54" t="n"/>
      <c r="G44" s="54" t="n"/>
      <c r="H44" s="54" t="n"/>
    </row>
    <row r="45" ht="14.5" customHeight="1">
      <c r="B45" s="54" t="n"/>
      <c r="C45" s="54" t="n"/>
      <c r="D45" s="54" t="n"/>
      <c r="E45" s="54" t="n"/>
      <c r="F45" s="54" t="n"/>
      <c r="G45" s="54" t="n"/>
      <c r="H45" s="54" t="n"/>
    </row>
    <row r="46" ht="14.5" customHeight="1">
      <c r="B46" s="54" t="n"/>
      <c r="C46" s="54" t="n"/>
      <c r="D46" s="54" t="n"/>
      <c r="E46" s="54" t="n"/>
      <c r="F46" s="54" t="n"/>
      <c r="G46" s="54" t="n"/>
      <c r="H46" s="54" t="n"/>
    </row>
    <row r="47" ht="14.5" customHeight="1">
      <c r="B47" s="54" t="n"/>
      <c r="C47" s="54" t="n"/>
      <c r="D47" s="54" t="n"/>
      <c r="E47" s="54" t="n"/>
      <c r="F47" s="54" t="n"/>
      <c r="G47" s="54" t="n"/>
      <c r="H47" s="54" t="n"/>
    </row>
  </sheetData>
  <mergeCells count="56">
    <mergeCell ref="BF14:BF16"/>
    <mergeCell ref="A25:E26"/>
    <mergeCell ref="BH14:BH16"/>
    <mergeCell ref="Q31:W33"/>
    <mergeCell ref="Q30:W30"/>
    <mergeCell ref="BK14:BK16"/>
    <mergeCell ref="AH9:AK13"/>
    <mergeCell ref="W10:X10"/>
    <mergeCell ref="P11:U11"/>
    <mergeCell ref="BF4:BF6"/>
    <mergeCell ref="BK12:BK13"/>
    <mergeCell ref="Q34:W36"/>
    <mergeCell ref="J10:K10"/>
    <mergeCell ref="A29:A31"/>
    <mergeCell ref="BI4:BI6"/>
    <mergeCell ref="A11:H11"/>
    <mergeCell ref="J28:K28"/>
    <mergeCell ref="BF19:BG19"/>
    <mergeCell ref="A32:A34"/>
    <mergeCell ref="P17:U17"/>
    <mergeCell ref="P1:S6"/>
    <mergeCell ref="AI32:AL38"/>
    <mergeCell ref="Y34:AA34"/>
    <mergeCell ref="Y30:Z30"/>
    <mergeCell ref="P16:U16"/>
    <mergeCell ref="AI24:AL29"/>
    <mergeCell ref="A16:H16"/>
    <mergeCell ref="J15:K15"/>
    <mergeCell ref="P13:U13"/>
    <mergeCell ref="B32:H34"/>
    <mergeCell ref="BJ14:BJ16"/>
    <mergeCell ref="BH4:BH6"/>
    <mergeCell ref="J11:K11"/>
    <mergeCell ref="BG14:BG16"/>
    <mergeCell ref="BJ4:BJ6"/>
    <mergeCell ref="A1:D3"/>
    <mergeCell ref="J32:K32"/>
    <mergeCell ref="P14:U14"/>
    <mergeCell ref="P34:P36"/>
    <mergeCell ref="A14:H14"/>
    <mergeCell ref="BF26:BH26"/>
    <mergeCell ref="BI14:BI16"/>
    <mergeCell ref="AH2:AK7"/>
    <mergeCell ref="A17:H17"/>
    <mergeCell ref="BF9:BG9"/>
    <mergeCell ref="P31:P33"/>
    <mergeCell ref="P10:U10"/>
    <mergeCell ref="BG4:BG6"/>
    <mergeCell ref="A7:E8"/>
    <mergeCell ref="W15:Y15"/>
    <mergeCell ref="BK4:BK6"/>
    <mergeCell ref="A10:H10"/>
    <mergeCell ref="B29:H31"/>
    <mergeCell ref="A13:H13"/>
    <mergeCell ref="P27:T28"/>
    <mergeCell ref="B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ayu maharani</dc:creator>
  <dcterms:created xsi:type="dcterms:W3CDTF">2026-03-30T08:48:45Z</dcterms:created>
  <dcterms:modified xsi:type="dcterms:W3CDTF">2026-09-09T01:57:22Z</dcterms:modified>
  <cp:lastModifiedBy>ayu maharani</cp:lastModifiedBy>
</cp:coreProperties>
</file>